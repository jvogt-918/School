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vinsadler/Box/BoxDept_MSDS - course files/MSDS 6371 Foundations of Statistics/Beta Course Spring 2020/New Course/Unit 13 MLR 2/"/>
    </mc:Choice>
  </mc:AlternateContent>
  <xr:revisionPtr revIDLastSave="0" documentId="8_{9186B691-F0BB-DD40-86B6-C9EEC0DBB807}" xr6:coauthVersionLast="45" xr6:coauthVersionMax="45" xr10:uidLastSave="{00000000-0000-0000-0000-000000000000}"/>
  <bookViews>
    <workbookView xWindow="3980" yWindow="1680" windowWidth="26840" windowHeight="15940" activeTab="1"/>
  </bookViews>
  <sheets>
    <sheet name="Mammal Prob 22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F6" i="2" l="1"/>
  <c r="G6" i="2"/>
  <c r="H7" i="2"/>
  <c r="H2" i="2"/>
  <c r="H3" i="2"/>
  <c r="H4" i="2"/>
  <c r="H5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6" i="2"/>
  <c r="G7" i="2"/>
  <c r="G2" i="2"/>
  <c r="G3" i="2"/>
  <c r="G4" i="2"/>
  <c r="G5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F7" i="2"/>
  <c r="F2" i="2"/>
  <c r="F3" i="2"/>
  <c r="F4" i="2"/>
  <c r="F5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</calcChain>
</file>

<file path=xl/sharedStrings.xml><?xml version="1.0" encoding="utf-8"?>
<sst xmlns="http://schemas.openxmlformats.org/spreadsheetml/2006/main" count="393" uniqueCount="185">
  <si>
    <t>CommonName</t>
  </si>
  <si>
    <t>Species</t>
  </si>
  <si>
    <t>Mass</t>
  </si>
  <si>
    <t>Metab</t>
  </si>
  <si>
    <t>Life</t>
  </si>
  <si>
    <t>Echidna</t>
  </si>
  <si>
    <t>Tachiglossus_aculeatus</t>
  </si>
  <si>
    <t>Long-beaked_echidna</t>
  </si>
  <si>
    <t>Zaglossus_bruijni</t>
  </si>
  <si>
    <t>Platypus</t>
  </si>
  <si>
    <t>Ornithorhynchus_anatinus</t>
  </si>
  <si>
    <t>Opossum</t>
  </si>
  <si>
    <t>Lutreolina_crassicaudata</t>
  </si>
  <si>
    <t>South_American_opossum</t>
  </si>
  <si>
    <t>Didelphis_marsupialis</t>
  </si>
  <si>
    <t>Virginia_opossum</t>
  </si>
  <si>
    <t>Didelphis_virginiana</t>
  </si>
  <si>
    <t>Australian_marsupial</t>
  </si>
  <si>
    <t>Antechinus_macdonnellensis</t>
  </si>
  <si>
    <t>Marsupial__</t>
  </si>
  <si>
    <t>Antechinomus_stuartii</t>
  </si>
  <si>
    <t>Marsupial</t>
  </si>
  <si>
    <t>Antechinomus_laniger</t>
  </si>
  <si>
    <t>Marsupial_rat</t>
  </si>
  <si>
    <t>Dasyuroides_byrnei</t>
  </si>
  <si>
    <t>Bandicoot</t>
  </si>
  <si>
    <t>Isodon_macroonurus</t>
  </si>
  <si>
    <t>Long-nosed_bandicoot</t>
  </si>
  <si>
    <t>Perameles_nasuta</t>
  </si>
  <si>
    <t>Fat-tailed_dunnart</t>
  </si>
  <si>
    <t>Sminthopsis_crassicaudata</t>
  </si>
  <si>
    <t>Planigale_maculata</t>
  </si>
  <si>
    <t>Tasmanian_devil</t>
  </si>
  <si>
    <t>Sacrophilus_harrisii</t>
  </si>
  <si>
    <t>Brushtail_possum</t>
  </si>
  <si>
    <t>Trichosurus_vulpecula</t>
  </si>
  <si>
    <t>Kangaroo</t>
  </si>
  <si>
    <t>Macropus_robustus</t>
  </si>
  <si>
    <t>Red_kangaroo</t>
  </si>
  <si>
    <t>Macropus_rufus</t>
  </si>
  <si>
    <t>Tammar_wallaby</t>
  </si>
  <si>
    <t>Macropus_eugenii</t>
  </si>
  <si>
    <t>Sloth</t>
  </si>
  <si>
    <t>Bradypus_variegatus</t>
  </si>
  <si>
    <t>Armadillo</t>
  </si>
  <si>
    <t>Dasypus_novemcinctus</t>
  </si>
  <si>
    <t>Pangolin</t>
  </si>
  <si>
    <t>Manis_tricuspis</t>
  </si>
  <si>
    <t>Scaly_anteater</t>
  </si>
  <si>
    <t>Manis_javanica</t>
  </si>
  <si>
    <t>Short-tailed_shrew</t>
  </si>
  <si>
    <t>Blarina_brevicauda</t>
  </si>
  <si>
    <t>Hamster</t>
  </si>
  <si>
    <t>Cricetus_cricetus</t>
  </si>
  <si>
    <t>Spiny_pocket_mouse</t>
  </si>
  <si>
    <t>Liomys_salvini</t>
  </si>
  <si>
    <t>Mexican_mouse</t>
  </si>
  <si>
    <t>Liomys_irroratus</t>
  </si>
  <si>
    <t>Mouse</t>
  </si>
  <si>
    <t>Microtus_minutus</t>
  </si>
  <si>
    <t>Microtus_mexicanus</t>
  </si>
  <si>
    <t>Golden_mouse</t>
  </si>
  <si>
    <t>Ochrotomys_nuttalli</t>
  </si>
  <si>
    <t>Mus_musculus</t>
  </si>
  <si>
    <t>Woodrat</t>
  </si>
  <si>
    <t>Neotoma_cirenea</t>
  </si>
  <si>
    <t>Neotoma_lepida</t>
  </si>
  <si>
    <t>Neotoma_fuscipes</t>
  </si>
  <si>
    <t>Neotoma_albigula</t>
  </si>
  <si>
    <t>Musk_rat</t>
  </si>
  <si>
    <t>Ondatra_zibethicus</t>
  </si>
  <si>
    <t>Pocket_mouse</t>
  </si>
  <si>
    <t>Perognathus_longimembris</t>
  </si>
  <si>
    <t>Perognahtus_hispidus</t>
  </si>
  <si>
    <t>Rodent</t>
  </si>
  <si>
    <t>Peromyscus_eremicus</t>
  </si>
  <si>
    <t>Peromyscus_californicus</t>
  </si>
  <si>
    <t>White-footed_mouse</t>
  </si>
  <si>
    <t>Peromyscus_leucopus</t>
  </si>
  <si>
    <t>Shrew</t>
  </si>
  <si>
    <t>Sorex_caecutiens</t>
  </si>
  <si>
    <t>Common_shrew</t>
  </si>
  <si>
    <t>Sorex_araneus</t>
  </si>
  <si>
    <t>Chinchilla</t>
  </si>
  <si>
    <t>Chinchilla_laniger</t>
  </si>
  <si>
    <t>Viscacha</t>
  </si>
  <si>
    <t>Lagostomus_maximus</t>
  </si>
  <si>
    <t>Kerodon_rupestris</t>
  </si>
  <si>
    <t>Guinea_pig</t>
  </si>
  <si>
    <t>Cavia_porcellus</t>
  </si>
  <si>
    <t>Marmot</t>
  </si>
  <si>
    <t>Marmota_monax</t>
  </si>
  <si>
    <t>Rat</t>
  </si>
  <si>
    <t>Rattus_fuscipes</t>
  </si>
  <si>
    <t>Rattus_lutreolus</t>
  </si>
  <si>
    <t>Rattus_rattus</t>
  </si>
  <si>
    <t>Rattus_sordidus</t>
  </si>
  <si>
    <t>Cotton_rat</t>
  </si>
  <si>
    <t>Sigmodon_hispidus</t>
  </si>
  <si>
    <t>Brown_hare</t>
  </si>
  <si>
    <t>Lepus_europaeus</t>
  </si>
  <si>
    <t>Snowshoe_hare</t>
  </si>
  <si>
    <t>Lepus_americanus</t>
  </si>
  <si>
    <t>Jack_Rabbit</t>
  </si>
  <si>
    <t>Lepus_californicus</t>
  </si>
  <si>
    <t>Mountain_hare</t>
  </si>
  <si>
    <t>Lepus_timidus</t>
  </si>
  <si>
    <t>Hare</t>
  </si>
  <si>
    <t>Lepus_alleni</t>
  </si>
  <si>
    <t>Cottontail</t>
  </si>
  <si>
    <t>Sulvilagus_audubonii</t>
  </si>
  <si>
    <t>Pronghorn</t>
  </si>
  <si>
    <t>Antilocapra_americana</t>
  </si>
  <si>
    <t>Camel</t>
  </si>
  <si>
    <t>Camelus_dromedarius</t>
  </si>
  <si>
    <t>Asian_elephant</t>
  </si>
  <si>
    <t>Elephas_maximum</t>
  </si>
  <si>
    <t>Roe_deer</t>
  </si>
  <si>
    <t>Capreolus_capreolus</t>
  </si>
  <si>
    <t>Red_deer</t>
  </si>
  <si>
    <t>Cervus_elaphus</t>
  </si>
  <si>
    <t>Horse</t>
  </si>
  <si>
    <t>Equus_cabalus</t>
  </si>
  <si>
    <t>Merino_sheep</t>
  </si>
  <si>
    <t>Ovis_aries</t>
  </si>
  <si>
    <t>Sheep</t>
  </si>
  <si>
    <t>Ovis_Canadensis</t>
  </si>
  <si>
    <t>Buffalo</t>
  </si>
  <si>
    <t>Bubalus_caffer</t>
  </si>
  <si>
    <t>Chamois</t>
  </si>
  <si>
    <t>Rupicapra_rupicapra</t>
  </si>
  <si>
    <t>Swine</t>
  </si>
  <si>
    <t>Sus_scrofa</t>
  </si>
  <si>
    <t>Collored_peccary</t>
  </si>
  <si>
    <t>Tayassu_tajacu</t>
  </si>
  <si>
    <t>Otter</t>
  </si>
  <si>
    <t>Lutra_lutra</t>
  </si>
  <si>
    <t>Wolverine</t>
  </si>
  <si>
    <t>Gulogulo</t>
  </si>
  <si>
    <t>Badger</t>
  </si>
  <si>
    <t>Meles_meles</t>
  </si>
  <si>
    <t>Sea_otter</t>
  </si>
  <si>
    <t>Enhydra_lutris</t>
  </si>
  <si>
    <t>Fox</t>
  </si>
  <si>
    <t>Vulpes_vulpes</t>
  </si>
  <si>
    <t>Coyote</t>
  </si>
  <si>
    <t>canis_latrans</t>
  </si>
  <si>
    <t>Dog</t>
  </si>
  <si>
    <t>Canis_familiaris</t>
  </si>
  <si>
    <t>Jaguar</t>
  </si>
  <si>
    <t>Panthera_onca</t>
  </si>
  <si>
    <t>Cat</t>
  </si>
  <si>
    <t>Felis_silvestris</t>
  </si>
  <si>
    <t>Mink</t>
  </si>
  <si>
    <t>Mustela_vis_on</t>
  </si>
  <si>
    <t>Harbor_seal</t>
  </si>
  <si>
    <t>Phoca_vitulina</t>
  </si>
  <si>
    <t>Beluga_whale</t>
  </si>
  <si>
    <t>Delphinapterus_leucas</t>
  </si>
  <si>
    <t>Bottle-nosed_whale</t>
  </si>
  <si>
    <t>Hyperoodon_ampullatus</t>
  </si>
  <si>
    <t>Bat</t>
  </si>
  <si>
    <t>Desmodus_rotundus</t>
  </si>
  <si>
    <t>Vampyrops_lineatus</t>
  </si>
  <si>
    <t>Ghost_bat</t>
  </si>
  <si>
    <t>Macroderma_gigas</t>
  </si>
  <si>
    <t>Molossid_bat</t>
  </si>
  <si>
    <t>Eumops_per_otis</t>
  </si>
  <si>
    <t>Fox_bat</t>
  </si>
  <si>
    <t>Pteropus_policephalus</t>
  </si>
  <si>
    <t>Chimpanzee</t>
  </si>
  <si>
    <t>Pan_troglodytes</t>
  </si>
  <si>
    <t>Rhesus_monkey</t>
  </si>
  <si>
    <t>Macaca_mulatta</t>
  </si>
  <si>
    <t>Orangutan</t>
  </si>
  <si>
    <t>Pongo_pygma_eus</t>
  </si>
  <si>
    <t>Gorilla</t>
  </si>
  <si>
    <t>Gorilla_gorilla</t>
  </si>
  <si>
    <t>Gibbon</t>
  </si>
  <si>
    <t>Hylobater_lar</t>
  </si>
  <si>
    <t>Man</t>
  </si>
  <si>
    <t>Homo_sapiens</t>
  </si>
  <si>
    <t>lMass</t>
  </si>
  <si>
    <t>lMetab</t>
  </si>
  <si>
    <t>lLife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</si>
</sst>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48370368798241"/>
                  <c:y val="-0.4535881405382267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baseline="0"/>
                      <a:t>logLife = -0.4974logMetab + 13.897</a:t>
                    </a:r>
                    <a:br>
                      <a:rPr lang="en-US" sz="1600" b="1" baseline="0"/>
                    </a:br>
                    <a:r>
                      <a:rPr lang="en-US" sz="1600" b="1" baseline="0"/>
                      <a:t>R² = 0.7609</a:t>
                    </a:r>
                    <a:endParaRPr lang="en-US" sz="16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Sheet1!$G$15:$G$25</c:f>
              <c:numCache>
                <c:formatCode>General</c:formatCode>
                <c:ptCount val="11"/>
                <c:pt idx="0">
                  <c:v>1.403120521175818</c:v>
                </c:pt>
                <c:pt idx="1">
                  <c:v>1.4281347940287887</c:v>
                </c:pt>
                <c:pt idx="2">
                  <c:v>0.98452731334379262</c:v>
                </c:pt>
                <c:pt idx="3">
                  <c:v>1.3424226808222062</c:v>
                </c:pt>
                <c:pt idx="4">
                  <c:v>1.3521825181113625</c:v>
                </c:pt>
                <c:pt idx="5">
                  <c:v>1.3765769570565121</c:v>
                </c:pt>
                <c:pt idx="6">
                  <c:v>1.354108439147401</c:v>
                </c:pt>
                <c:pt idx="7">
                  <c:v>1.414973347970818</c:v>
                </c:pt>
                <c:pt idx="8">
                  <c:v>1.1522883443830565</c:v>
                </c:pt>
                <c:pt idx="9">
                  <c:v>1.6095944092252201</c:v>
                </c:pt>
                <c:pt idx="10">
                  <c:v>1.5728716022004801</c:v>
                </c:pt>
              </c:numCache>
            </c:numRef>
          </c:xVal>
          <c:yVal>
            <c:numRef>
              <c:f>Sheet1!$H$15:$H$25</c:f>
              <c:numCache>
                <c:formatCode>General</c:formatCode>
                <c:ptCount val="11"/>
                <c:pt idx="0">
                  <c:v>0.18232155679395459</c:v>
                </c:pt>
                <c:pt idx="1">
                  <c:v>0.40546510810816438</c:v>
                </c:pt>
                <c:pt idx="2">
                  <c:v>2.0794415416798357</c:v>
                </c:pt>
                <c:pt idx="3">
                  <c:v>0.40546510810816438</c:v>
                </c:pt>
                <c:pt idx="4">
                  <c:v>0.91629073187415511</c:v>
                </c:pt>
                <c:pt idx="5">
                  <c:v>0.69314718055994529</c:v>
                </c:pt>
                <c:pt idx="6">
                  <c:v>0.91629073187415511</c:v>
                </c:pt>
                <c:pt idx="7">
                  <c:v>0.91629073187415511</c:v>
                </c:pt>
                <c:pt idx="8">
                  <c:v>2.3025850929940459</c:v>
                </c:pt>
                <c:pt idx="9">
                  <c:v>1.0986122886681098</c:v>
                </c:pt>
                <c:pt idx="10">
                  <c:v>1.0986122886681098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4-8043-963D-5F5D35CEC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461919"/>
        <c:axId val="1518465631"/>
      </c:scatterChart>
      <c:valAx>
        <c:axId val="151846191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65631"/>
        <c:crosses val="autoZero"/>
        <c:crossBetween val="midCat"/>
      </c:valAx>
      <c:valAx>
        <c:axId val="151846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6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501650</xdr:colOff>
      <xdr:row>1</xdr:row>
      <xdr:rowOff>133350</xdr:rowOff>
    </xdr:from>
    <xdr:to>
      <xdr:col>18</xdr:col>
      <xdr:colOff>139700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EA9722-3721-F247-8B63-D4DEE1F8F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workbookViewId="0">
      <selection activeCell="C9" sqref="C9"/>
    </sheetView>
  </sheetViews>
  <sheetFormatPr baseColWidth="10" defaultRowHeight="16"/>
  <cols>
    <col min="1" max="1" width="24.83203125" customWidth="1"/>
    <col min="2" max="2" width="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22</v>
      </c>
      <c r="C2">
        <v>0.01</v>
      </c>
      <c r="D2">
        <v>5.17</v>
      </c>
      <c r="E2">
        <v>2</v>
      </c>
    </row>
    <row r="3" spans="1:5">
      <c r="A3" t="s">
        <v>17</v>
      </c>
      <c r="B3" t="s">
        <v>18</v>
      </c>
      <c r="C3">
        <v>0.01</v>
      </c>
      <c r="D3">
        <v>9</v>
      </c>
      <c r="E3">
        <v>2</v>
      </c>
    </row>
    <row r="4" spans="1:5">
      <c r="A4" t="s">
        <v>71</v>
      </c>
      <c r="B4" t="s">
        <v>72</v>
      </c>
      <c r="C4">
        <v>0.01</v>
      </c>
      <c r="D4">
        <v>11.4</v>
      </c>
      <c r="E4">
        <v>1.5</v>
      </c>
    </row>
    <row r="5" spans="1:5">
      <c r="A5" t="s">
        <v>17</v>
      </c>
      <c r="B5" t="s">
        <v>31</v>
      </c>
      <c r="C5">
        <v>0.01</v>
      </c>
      <c r="D5">
        <v>13.7</v>
      </c>
      <c r="E5">
        <v>1.5</v>
      </c>
    </row>
    <row r="6" spans="1:5">
      <c r="A6" t="s">
        <v>79</v>
      </c>
      <c r="B6" t="s">
        <v>80</v>
      </c>
      <c r="C6">
        <v>0.01</v>
      </c>
      <c r="D6">
        <v>15</v>
      </c>
      <c r="E6">
        <v>0.8</v>
      </c>
    </row>
    <row r="7" spans="1:5">
      <c r="A7" t="s">
        <v>19</v>
      </c>
      <c r="B7" t="s">
        <v>20</v>
      </c>
      <c r="C7">
        <v>0.01</v>
      </c>
      <c r="D7">
        <v>17.600000000000001</v>
      </c>
      <c r="E7">
        <v>2.5</v>
      </c>
    </row>
    <row r="8" spans="1:5">
      <c r="A8" t="s">
        <v>81</v>
      </c>
      <c r="B8" t="s">
        <v>82</v>
      </c>
      <c r="C8">
        <v>0.01</v>
      </c>
      <c r="D8">
        <v>17.600000000000001</v>
      </c>
      <c r="E8">
        <v>0.8</v>
      </c>
    </row>
    <row r="9" spans="1:5">
      <c r="A9" t="s">
        <v>58</v>
      </c>
      <c r="B9" t="s">
        <v>59</v>
      </c>
      <c r="C9">
        <v>0.01</v>
      </c>
      <c r="D9">
        <v>18</v>
      </c>
      <c r="E9">
        <v>0.8</v>
      </c>
    </row>
    <row r="10" spans="1:5">
      <c r="A10" t="s">
        <v>29</v>
      </c>
      <c r="B10" t="s">
        <v>30</v>
      </c>
      <c r="C10">
        <v>0.02</v>
      </c>
      <c r="D10">
        <v>9.64</v>
      </c>
      <c r="E10">
        <v>2</v>
      </c>
    </row>
    <row r="11" spans="1:5">
      <c r="A11" t="s">
        <v>74</v>
      </c>
      <c r="B11" t="s">
        <v>75</v>
      </c>
      <c r="C11">
        <v>0.02</v>
      </c>
      <c r="D11">
        <v>15.4</v>
      </c>
      <c r="E11">
        <v>1.5</v>
      </c>
    </row>
    <row r="12" spans="1:5">
      <c r="A12" t="s">
        <v>161</v>
      </c>
      <c r="B12" t="s">
        <v>163</v>
      </c>
      <c r="C12">
        <v>0.02</v>
      </c>
      <c r="D12">
        <v>15.6</v>
      </c>
      <c r="E12">
        <v>6</v>
      </c>
    </row>
    <row r="13" spans="1:5">
      <c r="A13" t="s">
        <v>58</v>
      </c>
      <c r="B13" t="s">
        <v>63</v>
      </c>
      <c r="C13">
        <v>0.02</v>
      </c>
      <c r="D13">
        <v>20.9</v>
      </c>
      <c r="E13">
        <v>1.5</v>
      </c>
    </row>
    <row r="14" spans="1:5">
      <c r="A14" t="s">
        <v>61</v>
      </c>
      <c r="B14" t="s">
        <v>62</v>
      </c>
      <c r="C14">
        <v>0.02</v>
      </c>
      <c r="D14">
        <v>23.8</v>
      </c>
      <c r="E14">
        <v>1.5</v>
      </c>
    </row>
    <row r="15" spans="1:5">
      <c r="A15" t="s">
        <v>50</v>
      </c>
      <c r="B15" t="s">
        <v>51</v>
      </c>
      <c r="C15">
        <v>0.02</v>
      </c>
      <c r="D15">
        <v>25.3</v>
      </c>
      <c r="E15">
        <v>1.2</v>
      </c>
    </row>
    <row r="16" spans="1:5">
      <c r="A16" t="s">
        <v>77</v>
      </c>
      <c r="B16" t="s">
        <v>78</v>
      </c>
      <c r="C16">
        <v>0.02</v>
      </c>
      <c r="D16">
        <v>26.8</v>
      </c>
      <c r="E16">
        <v>1.5</v>
      </c>
    </row>
    <row r="17" spans="1:5">
      <c r="A17" t="s">
        <v>161</v>
      </c>
      <c r="B17" t="s">
        <v>162</v>
      </c>
      <c r="C17">
        <v>0.03</v>
      </c>
      <c r="D17">
        <v>9.65</v>
      </c>
      <c r="E17">
        <v>8</v>
      </c>
    </row>
    <row r="18" spans="1:5">
      <c r="A18" t="s">
        <v>58</v>
      </c>
      <c r="B18" t="s">
        <v>60</v>
      </c>
      <c r="C18">
        <v>0.03</v>
      </c>
      <c r="D18">
        <v>22</v>
      </c>
      <c r="E18">
        <v>1.5</v>
      </c>
    </row>
    <row r="19" spans="1:5">
      <c r="A19" t="s">
        <v>54</v>
      </c>
      <c r="B19" t="s">
        <v>55</v>
      </c>
      <c r="C19">
        <v>0.04</v>
      </c>
      <c r="D19">
        <v>22.5</v>
      </c>
      <c r="E19">
        <v>2.5</v>
      </c>
    </row>
    <row r="20" spans="1:5">
      <c r="A20" t="s">
        <v>58</v>
      </c>
      <c r="B20" t="s">
        <v>73</v>
      </c>
      <c r="C20">
        <v>0.04</v>
      </c>
      <c r="D20">
        <v>23.8</v>
      </c>
      <c r="E20">
        <v>2</v>
      </c>
    </row>
    <row r="21" spans="1:5">
      <c r="A21" t="s">
        <v>74</v>
      </c>
      <c r="B21" t="s">
        <v>76</v>
      </c>
      <c r="C21">
        <v>0.05</v>
      </c>
      <c r="D21">
        <v>22.6</v>
      </c>
      <c r="E21">
        <v>2.5</v>
      </c>
    </row>
    <row r="22" spans="1:5">
      <c r="A22" t="s">
        <v>56</v>
      </c>
      <c r="B22" t="s">
        <v>57</v>
      </c>
      <c r="C22">
        <v>0.05</v>
      </c>
      <c r="D22">
        <v>26</v>
      </c>
      <c r="E22">
        <v>2.5</v>
      </c>
    </row>
    <row r="23" spans="1:5">
      <c r="A23" t="s">
        <v>166</v>
      </c>
      <c r="B23" t="s">
        <v>167</v>
      </c>
      <c r="C23">
        <v>0.06</v>
      </c>
      <c r="D23">
        <v>14.2</v>
      </c>
      <c r="E23">
        <v>10</v>
      </c>
    </row>
    <row r="24" spans="1:5">
      <c r="A24" t="s">
        <v>92</v>
      </c>
      <c r="B24" t="s">
        <v>93</v>
      </c>
      <c r="C24">
        <v>0.08</v>
      </c>
      <c r="D24">
        <v>40.700000000000003</v>
      </c>
      <c r="E24">
        <v>3</v>
      </c>
    </row>
    <row r="25" spans="1:5">
      <c r="A25" t="s">
        <v>23</v>
      </c>
      <c r="B25" t="s">
        <v>24</v>
      </c>
      <c r="C25">
        <v>0.09</v>
      </c>
      <c r="D25">
        <v>37.4</v>
      </c>
      <c r="E25">
        <v>3</v>
      </c>
    </row>
    <row r="26" spans="1:5">
      <c r="A26" t="s">
        <v>92</v>
      </c>
      <c r="B26" t="s">
        <v>94</v>
      </c>
      <c r="C26">
        <v>0.11</v>
      </c>
      <c r="D26">
        <v>30.5</v>
      </c>
      <c r="E26">
        <v>3.5</v>
      </c>
    </row>
    <row r="27" spans="1:5">
      <c r="A27" t="s">
        <v>92</v>
      </c>
      <c r="B27" t="s">
        <v>95</v>
      </c>
      <c r="C27">
        <v>0.13</v>
      </c>
      <c r="D27">
        <v>80.900000000000006</v>
      </c>
      <c r="E27">
        <v>3.5</v>
      </c>
    </row>
    <row r="28" spans="1:5">
      <c r="A28" t="s">
        <v>64</v>
      </c>
      <c r="B28" t="s">
        <v>66</v>
      </c>
      <c r="C28">
        <v>0.14000000000000001</v>
      </c>
      <c r="D28">
        <v>48.2</v>
      </c>
      <c r="E28">
        <v>3.5</v>
      </c>
    </row>
    <row r="29" spans="1:5">
      <c r="A29" t="s">
        <v>164</v>
      </c>
      <c r="B29" t="s">
        <v>165</v>
      </c>
      <c r="C29">
        <v>0.15</v>
      </c>
      <c r="D29">
        <v>68</v>
      </c>
      <c r="E29">
        <v>10</v>
      </c>
    </row>
    <row r="30" spans="1:5">
      <c r="A30" t="s">
        <v>97</v>
      </c>
      <c r="B30" t="s">
        <v>98</v>
      </c>
      <c r="C30">
        <v>0.16</v>
      </c>
      <c r="D30">
        <v>168</v>
      </c>
      <c r="E30">
        <v>3</v>
      </c>
    </row>
    <row r="31" spans="1:5">
      <c r="A31" t="s">
        <v>64</v>
      </c>
      <c r="B31" t="s">
        <v>68</v>
      </c>
      <c r="C31">
        <v>0.17</v>
      </c>
      <c r="D31">
        <v>61.4</v>
      </c>
      <c r="E31">
        <v>3.5</v>
      </c>
    </row>
    <row r="32" spans="1:5">
      <c r="A32" t="s">
        <v>92</v>
      </c>
      <c r="B32" t="s">
        <v>96</v>
      </c>
      <c r="C32">
        <v>0.19</v>
      </c>
      <c r="D32">
        <v>51.4</v>
      </c>
      <c r="E32">
        <v>4</v>
      </c>
    </row>
    <row r="33" spans="1:5">
      <c r="A33" t="s">
        <v>64</v>
      </c>
      <c r="B33" t="s">
        <v>67</v>
      </c>
      <c r="C33">
        <v>0.19</v>
      </c>
      <c r="D33">
        <v>71.3</v>
      </c>
      <c r="E33">
        <v>3.5</v>
      </c>
    </row>
    <row r="34" spans="1:5">
      <c r="A34" t="s">
        <v>64</v>
      </c>
      <c r="B34" t="s">
        <v>65</v>
      </c>
      <c r="C34">
        <v>0.32</v>
      </c>
      <c r="D34">
        <v>121</v>
      </c>
      <c r="E34">
        <v>3.5</v>
      </c>
    </row>
    <row r="35" spans="1:5">
      <c r="A35" t="s">
        <v>52</v>
      </c>
      <c r="B35" t="s">
        <v>53</v>
      </c>
      <c r="C35">
        <v>0.36</v>
      </c>
      <c r="D35">
        <v>112</v>
      </c>
      <c r="E35">
        <v>4</v>
      </c>
    </row>
    <row r="36" spans="1:5">
      <c r="A36" t="s">
        <v>83</v>
      </c>
      <c r="B36" t="s">
        <v>84</v>
      </c>
      <c r="C36">
        <v>0.49</v>
      </c>
      <c r="D36">
        <v>112</v>
      </c>
      <c r="E36">
        <v>8</v>
      </c>
    </row>
    <row r="37" spans="1:5">
      <c r="A37" t="s">
        <v>88</v>
      </c>
      <c r="B37" t="s">
        <v>89</v>
      </c>
      <c r="C37">
        <v>0.5</v>
      </c>
      <c r="D37">
        <v>192</v>
      </c>
      <c r="E37">
        <v>6</v>
      </c>
    </row>
    <row r="38" spans="1:5">
      <c r="A38" t="s">
        <v>168</v>
      </c>
      <c r="B38" t="s">
        <v>169</v>
      </c>
      <c r="C38">
        <v>0.6</v>
      </c>
      <c r="D38">
        <v>153</v>
      </c>
      <c r="E38">
        <v>13</v>
      </c>
    </row>
    <row r="39" spans="1:5">
      <c r="A39" t="s">
        <v>27</v>
      </c>
      <c r="B39" t="s">
        <v>28</v>
      </c>
      <c r="C39">
        <v>0.65</v>
      </c>
      <c r="D39">
        <v>153</v>
      </c>
      <c r="E39">
        <v>7</v>
      </c>
    </row>
    <row r="40" spans="1:5">
      <c r="A40" t="s">
        <v>153</v>
      </c>
      <c r="B40" t="s">
        <v>154</v>
      </c>
      <c r="C40">
        <v>0.66</v>
      </c>
      <c r="D40">
        <v>239</v>
      </c>
      <c r="E40">
        <v>8</v>
      </c>
    </row>
    <row r="41" spans="1:5">
      <c r="A41" t="s">
        <v>109</v>
      </c>
      <c r="B41" t="s">
        <v>110</v>
      </c>
      <c r="C41">
        <v>0.7</v>
      </c>
      <c r="D41">
        <v>220</v>
      </c>
      <c r="E41">
        <v>7</v>
      </c>
    </row>
    <row r="42" spans="1:5">
      <c r="A42" t="s">
        <v>74</v>
      </c>
      <c r="B42" t="s">
        <v>87</v>
      </c>
      <c r="C42">
        <v>0.75</v>
      </c>
      <c r="D42">
        <v>193</v>
      </c>
      <c r="E42">
        <v>6</v>
      </c>
    </row>
    <row r="43" spans="1:5">
      <c r="A43" t="s">
        <v>11</v>
      </c>
      <c r="B43" t="s">
        <v>12</v>
      </c>
      <c r="C43">
        <v>0.81</v>
      </c>
      <c r="D43">
        <v>196</v>
      </c>
      <c r="E43">
        <v>5</v>
      </c>
    </row>
    <row r="44" spans="1:5">
      <c r="A44" t="s">
        <v>69</v>
      </c>
      <c r="B44" t="s">
        <v>70</v>
      </c>
      <c r="C44">
        <v>0.84</v>
      </c>
      <c r="D44">
        <v>333</v>
      </c>
      <c r="E44">
        <v>3.5</v>
      </c>
    </row>
    <row r="45" spans="1:5">
      <c r="A45" t="s">
        <v>25</v>
      </c>
      <c r="B45" t="s">
        <v>26</v>
      </c>
      <c r="C45">
        <v>1</v>
      </c>
      <c r="D45">
        <v>201</v>
      </c>
      <c r="E45">
        <v>8</v>
      </c>
    </row>
    <row r="46" spans="1:5">
      <c r="A46" t="s">
        <v>9</v>
      </c>
      <c r="B46" t="s">
        <v>10</v>
      </c>
      <c r="C46">
        <v>1.3</v>
      </c>
      <c r="D46">
        <v>229</v>
      </c>
      <c r="E46">
        <v>9</v>
      </c>
    </row>
    <row r="47" spans="1:5">
      <c r="A47" t="s">
        <v>13</v>
      </c>
      <c r="B47" t="s">
        <v>14</v>
      </c>
      <c r="C47">
        <v>1.33</v>
      </c>
      <c r="D47">
        <v>299</v>
      </c>
      <c r="E47">
        <v>6</v>
      </c>
    </row>
    <row r="48" spans="1:5">
      <c r="A48" t="s">
        <v>101</v>
      </c>
      <c r="B48" t="s">
        <v>102</v>
      </c>
      <c r="C48">
        <v>1.58</v>
      </c>
      <c r="D48">
        <v>686</v>
      </c>
      <c r="E48">
        <v>7</v>
      </c>
    </row>
    <row r="49" spans="1:5">
      <c r="A49" t="s">
        <v>34</v>
      </c>
      <c r="B49" t="s">
        <v>35</v>
      </c>
      <c r="C49">
        <v>1.98</v>
      </c>
      <c r="D49">
        <v>306</v>
      </c>
      <c r="E49">
        <v>8</v>
      </c>
    </row>
    <row r="50" spans="1:5">
      <c r="A50" t="s">
        <v>103</v>
      </c>
      <c r="B50" t="s">
        <v>104</v>
      </c>
      <c r="C50">
        <v>2.2999999999999998</v>
      </c>
      <c r="D50">
        <v>623</v>
      </c>
      <c r="E50">
        <v>8</v>
      </c>
    </row>
    <row r="51" spans="1:5">
      <c r="A51" t="s">
        <v>5</v>
      </c>
      <c r="B51" t="s">
        <v>6</v>
      </c>
      <c r="C51">
        <v>2.5</v>
      </c>
      <c r="D51">
        <v>302</v>
      </c>
      <c r="E51">
        <v>14</v>
      </c>
    </row>
    <row r="52" spans="1:5">
      <c r="A52" t="s">
        <v>99</v>
      </c>
      <c r="B52" t="s">
        <v>100</v>
      </c>
      <c r="C52">
        <v>2.5</v>
      </c>
      <c r="D52">
        <v>528</v>
      </c>
      <c r="E52">
        <v>8</v>
      </c>
    </row>
    <row r="53" spans="1:5">
      <c r="A53" t="s">
        <v>90</v>
      </c>
      <c r="B53" t="s">
        <v>91</v>
      </c>
      <c r="C53">
        <v>2.65</v>
      </c>
      <c r="D53">
        <v>320</v>
      </c>
      <c r="E53">
        <v>10</v>
      </c>
    </row>
    <row r="54" spans="1:5">
      <c r="A54" t="s">
        <v>46</v>
      </c>
      <c r="B54" t="s">
        <v>47</v>
      </c>
      <c r="C54">
        <v>2.73</v>
      </c>
      <c r="D54">
        <v>440</v>
      </c>
      <c r="E54">
        <v>8</v>
      </c>
    </row>
    <row r="55" spans="1:5">
      <c r="A55" t="s">
        <v>105</v>
      </c>
      <c r="B55" t="s">
        <v>106</v>
      </c>
      <c r="C55">
        <v>3</v>
      </c>
      <c r="D55">
        <v>522</v>
      </c>
      <c r="E55">
        <v>9</v>
      </c>
    </row>
    <row r="56" spans="1:5">
      <c r="A56" t="s">
        <v>151</v>
      </c>
      <c r="B56" t="s">
        <v>152</v>
      </c>
      <c r="C56">
        <v>3</v>
      </c>
      <c r="D56">
        <v>546</v>
      </c>
      <c r="E56">
        <v>11</v>
      </c>
    </row>
    <row r="57" spans="1:5">
      <c r="A57" t="s">
        <v>15</v>
      </c>
      <c r="B57" t="s">
        <v>16</v>
      </c>
      <c r="C57">
        <v>3.26</v>
      </c>
      <c r="D57">
        <v>519</v>
      </c>
      <c r="E57">
        <v>8</v>
      </c>
    </row>
    <row r="58" spans="1:5">
      <c r="A58" t="s">
        <v>44</v>
      </c>
      <c r="B58" t="s">
        <v>45</v>
      </c>
      <c r="C58">
        <v>3.32</v>
      </c>
      <c r="D58">
        <v>384</v>
      </c>
      <c r="E58">
        <v>10</v>
      </c>
    </row>
    <row r="59" spans="1:5">
      <c r="A59" t="s">
        <v>107</v>
      </c>
      <c r="B59" t="s">
        <v>108</v>
      </c>
      <c r="C59">
        <v>3.36</v>
      </c>
      <c r="D59">
        <v>730</v>
      </c>
      <c r="E59">
        <v>9</v>
      </c>
    </row>
    <row r="60" spans="1:5">
      <c r="A60" t="s">
        <v>42</v>
      </c>
      <c r="B60" t="s">
        <v>43</v>
      </c>
      <c r="C60">
        <v>3.79</v>
      </c>
      <c r="D60">
        <v>331</v>
      </c>
      <c r="E60">
        <v>19</v>
      </c>
    </row>
    <row r="61" spans="1:5">
      <c r="A61" t="s">
        <v>48</v>
      </c>
      <c r="B61" t="s">
        <v>49</v>
      </c>
      <c r="C61">
        <v>4.22</v>
      </c>
      <c r="D61">
        <v>529</v>
      </c>
      <c r="E61">
        <v>11</v>
      </c>
    </row>
    <row r="62" spans="1:5">
      <c r="A62" t="s">
        <v>36</v>
      </c>
      <c r="B62" t="s">
        <v>37</v>
      </c>
      <c r="C62">
        <v>4.6900000000000004</v>
      </c>
      <c r="D62">
        <v>694</v>
      </c>
      <c r="E62">
        <v>11</v>
      </c>
    </row>
    <row r="63" spans="1:5">
      <c r="A63" t="s">
        <v>40</v>
      </c>
      <c r="B63" t="s">
        <v>41</v>
      </c>
      <c r="C63">
        <v>4.8</v>
      </c>
      <c r="D63">
        <v>671</v>
      </c>
      <c r="E63">
        <v>11</v>
      </c>
    </row>
    <row r="64" spans="1:5">
      <c r="A64" t="s">
        <v>172</v>
      </c>
      <c r="B64" t="s">
        <v>173</v>
      </c>
      <c r="C64">
        <v>5</v>
      </c>
      <c r="D64">
        <v>960</v>
      </c>
      <c r="E64">
        <v>25</v>
      </c>
    </row>
    <row r="65" spans="1:5">
      <c r="A65" t="s">
        <v>143</v>
      </c>
      <c r="B65" t="s">
        <v>144</v>
      </c>
      <c r="C65">
        <v>5.01</v>
      </c>
      <c r="D65">
        <v>1210</v>
      </c>
      <c r="E65">
        <v>12</v>
      </c>
    </row>
    <row r="66" spans="1:5">
      <c r="A66" t="s">
        <v>32</v>
      </c>
      <c r="B66" t="s">
        <v>33</v>
      </c>
      <c r="C66">
        <v>5.05</v>
      </c>
      <c r="D66">
        <v>628</v>
      </c>
      <c r="E66">
        <v>10</v>
      </c>
    </row>
    <row r="67" spans="1:5">
      <c r="A67" t="s">
        <v>85</v>
      </c>
      <c r="B67" t="s">
        <v>86</v>
      </c>
      <c r="C67">
        <v>6.78</v>
      </c>
      <c r="D67">
        <v>916</v>
      </c>
      <c r="E67">
        <v>13</v>
      </c>
    </row>
    <row r="68" spans="1:5">
      <c r="A68" t="s">
        <v>178</v>
      </c>
      <c r="B68" t="s">
        <v>179</v>
      </c>
      <c r="C68">
        <v>8</v>
      </c>
      <c r="D68">
        <v>1510</v>
      </c>
      <c r="E68">
        <v>25</v>
      </c>
    </row>
    <row r="69" spans="1:5">
      <c r="A69" t="s">
        <v>145</v>
      </c>
      <c r="B69" t="s">
        <v>146</v>
      </c>
      <c r="C69">
        <v>10</v>
      </c>
      <c r="D69">
        <v>1320</v>
      </c>
      <c r="E69">
        <v>18</v>
      </c>
    </row>
    <row r="70" spans="1:5">
      <c r="A70" t="s">
        <v>135</v>
      </c>
      <c r="B70" t="s">
        <v>136</v>
      </c>
      <c r="C70">
        <v>10</v>
      </c>
      <c r="D70">
        <v>2200</v>
      </c>
      <c r="E70">
        <v>15</v>
      </c>
    </row>
    <row r="71" spans="1:5">
      <c r="A71" t="s">
        <v>7</v>
      </c>
      <c r="B71" t="s">
        <v>8</v>
      </c>
      <c r="C71">
        <v>10.3</v>
      </c>
      <c r="D71">
        <v>594</v>
      </c>
      <c r="E71">
        <v>20</v>
      </c>
    </row>
    <row r="72" spans="1:5">
      <c r="A72" t="s">
        <v>139</v>
      </c>
      <c r="B72" t="s">
        <v>140</v>
      </c>
      <c r="C72">
        <v>11.1</v>
      </c>
      <c r="D72">
        <v>1440</v>
      </c>
      <c r="E72">
        <v>16</v>
      </c>
    </row>
    <row r="73" spans="1:5">
      <c r="A73" t="s">
        <v>137</v>
      </c>
      <c r="B73" t="s">
        <v>138</v>
      </c>
      <c r="C73">
        <v>12.7</v>
      </c>
      <c r="D73">
        <v>2820</v>
      </c>
      <c r="E73">
        <v>15</v>
      </c>
    </row>
    <row r="74" spans="1:5">
      <c r="A74" t="s">
        <v>147</v>
      </c>
      <c r="B74" t="s">
        <v>148</v>
      </c>
      <c r="C74">
        <v>14</v>
      </c>
      <c r="D74">
        <v>1880</v>
      </c>
      <c r="E74">
        <v>18</v>
      </c>
    </row>
    <row r="75" spans="1:5">
      <c r="A75" t="s">
        <v>149</v>
      </c>
      <c r="B75" t="s">
        <v>150</v>
      </c>
      <c r="C75">
        <v>18</v>
      </c>
      <c r="D75">
        <v>2440</v>
      </c>
      <c r="E75">
        <v>20</v>
      </c>
    </row>
    <row r="76" spans="1:5">
      <c r="A76" t="s">
        <v>117</v>
      </c>
      <c r="B76" t="s">
        <v>118</v>
      </c>
      <c r="C76">
        <v>19</v>
      </c>
      <c r="D76">
        <v>3670</v>
      </c>
      <c r="E76">
        <v>13</v>
      </c>
    </row>
    <row r="77" spans="1:5">
      <c r="A77" t="s">
        <v>133</v>
      </c>
      <c r="B77" t="s">
        <v>134</v>
      </c>
      <c r="C77">
        <v>20.2</v>
      </c>
      <c r="D77">
        <v>826</v>
      </c>
      <c r="E77">
        <v>15</v>
      </c>
    </row>
    <row r="78" spans="1:5">
      <c r="A78" t="s">
        <v>155</v>
      </c>
      <c r="B78" t="s">
        <v>156</v>
      </c>
      <c r="C78">
        <v>26</v>
      </c>
      <c r="D78">
        <v>7400</v>
      </c>
      <c r="E78">
        <v>13</v>
      </c>
    </row>
    <row r="79" spans="1:5">
      <c r="A79" t="s">
        <v>111</v>
      </c>
      <c r="B79" t="s">
        <v>112</v>
      </c>
      <c r="C79">
        <v>32</v>
      </c>
      <c r="D79">
        <v>4320</v>
      </c>
      <c r="E79">
        <v>18</v>
      </c>
    </row>
    <row r="80" spans="1:5">
      <c r="A80" t="s">
        <v>129</v>
      </c>
      <c r="B80" t="s">
        <v>130</v>
      </c>
      <c r="C80">
        <v>40</v>
      </c>
      <c r="D80">
        <v>3140</v>
      </c>
      <c r="E80">
        <v>21</v>
      </c>
    </row>
    <row r="81" spans="1:5">
      <c r="A81" t="s">
        <v>38</v>
      </c>
      <c r="B81" t="s">
        <v>39</v>
      </c>
      <c r="C81">
        <v>40</v>
      </c>
      <c r="D81">
        <v>4000</v>
      </c>
      <c r="E81">
        <v>15</v>
      </c>
    </row>
    <row r="82" spans="1:5">
      <c r="A82" t="s">
        <v>141</v>
      </c>
      <c r="B82" t="s">
        <v>142</v>
      </c>
      <c r="C82">
        <v>40</v>
      </c>
      <c r="D82">
        <v>12400</v>
      </c>
      <c r="E82">
        <v>16</v>
      </c>
    </row>
    <row r="83" spans="1:5">
      <c r="A83" t="s">
        <v>170</v>
      </c>
      <c r="B83" t="s">
        <v>171</v>
      </c>
      <c r="C83">
        <v>45</v>
      </c>
      <c r="D83">
        <v>4620</v>
      </c>
      <c r="E83">
        <v>40</v>
      </c>
    </row>
    <row r="84" spans="1:5">
      <c r="A84" t="s">
        <v>123</v>
      </c>
      <c r="B84" t="s">
        <v>124</v>
      </c>
      <c r="C84">
        <v>49</v>
      </c>
      <c r="D84">
        <v>4200</v>
      </c>
      <c r="E84">
        <v>20</v>
      </c>
    </row>
    <row r="85" spans="1:5">
      <c r="A85" t="s">
        <v>119</v>
      </c>
      <c r="B85" t="s">
        <v>120</v>
      </c>
      <c r="C85">
        <v>58</v>
      </c>
      <c r="D85">
        <v>7800</v>
      </c>
      <c r="E85">
        <v>18</v>
      </c>
    </row>
    <row r="86" spans="1:5">
      <c r="A86" t="s">
        <v>180</v>
      </c>
      <c r="B86" t="s">
        <v>181</v>
      </c>
      <c r="C86">
        <v>65</v>
      </c>
      <c r="D86">
        <v>7560</v>
      </c>
      <c r="E86">
        <v>75</v>
      </c>
    </row>
    <row r="87" spans="1:5">
      <c r="A87" t="s">
        <v>125</v>
      </c>
      <c r="B87" t="s">
        <v>126</v>
      </c>
      <c r="C87">
        <v>65</v>
      </c>
      <c r="D87">
        <v>10700</v>
      </c>
      <c r="E87">
        <v>20</v>
      </c>
    </row>
    <row r="88" spans="1:5">
      <c r="A88" t="s">
        <v>131</v>
      </c>
      <c r="B88" t="s">
        <v>132</v>
      </c>
      <c r="C88">
        <v>140</v>
      </c>
      <c r="D88">
        <v>12000</v>
      </c>
      <c r="E88">
        <v>15</v>
      </c>
    </row>
    <row r="89" spans="1:5">
      <c r="A89" t="s">
        <v>174</v>
      </c>
      <c r="B89" t="s">
        <v>175</v>
      </c>
      <c r="C89">
        <v>150</v>
      </c>
      <c r="D89">
        <v>15500</v>
      </c>
      <c r="E89">
        <v>45</v>
      </c>
    </row>
    <row r="90" spans="1:5">
      <c r="A90" t="s">
        <v>157</v>
      </c>
      <c r="B90" t="s">
        <v>158</v>
      </c>
      <c r="C90">
        <v>170</v>
      </c>
      <c r="D90">
        <v>23000</v>
      </c>
      <c r="E90">
        <v>25</v>
      </c>
    </row>
    <row r="91" spans="1:5">
      <c r="A91" t="s">
        <v>176</v>
      </c>
      <c r="B91" t="s">
        <v>177</v>
      </c>
      <c r="C91">
        <v>250</v>
      </c>
      <c r="D91">
        <v>21000</v>
      </c>
      <c r="E91">
        <v>45</v>
      </c>
    </row>
    <row r="92" spans="1:5">
      <c r="A92" t="s">
        <v>121</v>
      </c>
      <c r="B92" t="s">
        <v>122</v>
      </c>
      <c r="C92">
        <v>400</v>
      </c>
      <c r="D92">
        <v>32000</v>
      </c>
      <c r="E92">
        <v>40</v>
      </c>
    </row>
    <row r="93" spans="1:5">
      <c r="A93" t="s">
        <v>113</v>
      </c>
      <c r="B93" t="s">
        <v>114</v>
      </c>
      <c r="C93">
        <v>407</v>
      </c>
      <c r="D93">
        <v>23600</v>
      </c>
      <c r="E93">
        <v>26</v>
      </c>
    </row>
    <row r="94" spans="1:5">
      <c r="A94" t="s">
        <v>127</v>
      </c>
      <c r="B94" t="s">
        <v>128</v>
      </c>
      <c r="C94">
        <v>420</v>
      </c>
      <c r="D94">
        <v>29400</v>
      </c>
      <c r="E94">
        <v>35</v>
      </c>
    </row>
    <row r="95" spans="1:5">
      <c r="A95" t="s">
        <v>159</v>
      </c>
      <c r="B95" t="s">
        <v>160</v>
      </c>
      <c r="C95">
        <v>1000</v>
      </c>
      <c r="D95">
        <v>69500</v>
      </c>
      <c r="E95">
        <v>40</v>
      </c>
    </row>
    <row r="96" spans="1:5">
      <c r="A96" t="s">
        <v>115</v>
      </c>
      <c r="B96" t="s">
        <v>116</v>
      </c>
      <c r="C96">
        <v>3000</v>
      </c>
      <c r="D96">
        <v>165000</v>
      </c>
      <c r="E96">
        <v>54</v>
      </c>
    </row>
  </sheetData>
  <sortState xmlns:xlrd2="http://schemas.microsoft.com/office/spreadsheetml/2017/richdata2" ref="A2:E97">
    <sortCondition ref="C2:C97"/>
    <sortCondition ref="D2:D9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abSelected="1" workbookViewId="0">
      <selection activeCell="F13" sqref="F13:G13"/>
    </sheetView>
  </sheetViews>
  <sheetFormatPr baseColWidth="10" defaultRowHeight="16"/>
  <cols>
    <col min="1" max="1" width="24.83203125" customWidth="1"/>
    <col min="2" max="2" width="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182</v>
      </c>
      <c r="G1" t="s">
        <v>183</v>
      </c>
      <c r="H1" t="s">
        <v>184</v>
      </c>
    </row>
    <row r="2" spans="1:8">
      <c r="A2" t="s">
        <v>21</v>
      </c>
      <c r="B2" t="s">
        <v>22</v>
      </c>
      <c r="C2">
        <v>0.01</v>
      </c>
      <c r="D2">
        <v>5.17</v>
      </c>
      <c r="E2">
        <v>2</v>
      </c>
      <c r="F2">
        <f>LN(C2)</f>
        <v>-4.6051701859880909</v>
      </c>
      <c r="G2">
        <f>LOG(D2)</f>
        <v>0.71349054309394255</v>
      </c>
      <c r="H2">
        <f>LN(E2)</f>
        <v>0.69314718055994529</v>
      </c>
    </row>
    <row r="3" spans="1:8">
      <c r="A3" t="s">
        <v>17</v>
      </c>
      <c r="B3" t="s">
        <v>18</v>
      </c>
      <c r="C3">
        <v>0.01</v>
      </c>
      <c r="D3">
        <v>9</v>
      </c>
      <c r="E3">
        <v>2</v>
      </c>
      <c r="F3">
        <f>LN(C3)</f>
        <v>-4.6051701859880909</v>
      </c>
      <c r="G3">
        <f>LOG(D3)</f>
        <v>0.95424250943932487</v>
      </c>
      <c r="H3">
        <f>LN(E3)</f>
        <v>0.69314718055994529</v>
      </c>
    </row>
    <row r="4" spans="1:8">
      <c r="A4" t="s">
        <v>71</v>
      </c>
      <c r="B4" t="s">
        <v>72</v>
      </c>
      <c r="C4">
        <v>0.01</v>
      </c>
      <c r="D4">
        <v>11.4</v>
      </c>
      <c r="E4">
        <v>1.5</v>
      </c>
      <c r="F4">
        <f>LN(C4)</f>
        <v>-4.6051701859880909</v>
      </c>
      <c r="G4">
        <f>LOG(D4)</f>
        <v>1.0569048513364727</v>
      </c>
      <c r="H4">
        <f>LN(E4)</f>
        <v>0.40546510810816438</v>
      </c>
    </row>
    <row r="5" spans="1:8">
      <c r="A5" t="s">
        <v>17</v>
      </c>
      <c r="B5" t="s">
        <v>31</v>
      </c>
      <c r="C5">
        <v>0.01</v>
      </c>
      <c r="D5">
        <v>13.7</v>
      </c>
      <c r="E5">
        <v>1.5</v>
      </c>
      <c r="F5">
        <f>LN(C5)</f>
        <v>-4.6051701859880909</v>
      </c>
      <c r="G5">
        <f>LOG(D5)</f>
        <v>1.1367205671564067</v>
      </c>
      <c r="H5">
        <f>LN(E5)</f>
        <v>0.40546510810816438</v>
      </c>
    </row>
    <row r="6" spans="1:8">
      <c r="A6" t="s">
        <v>79</v>
      </c>
      <c r="B6" t="s">
        <v>80</v>
      </c>
      <c r="C6">
        <v>0.01</v>
      </c>
      <c r="D6">
        <v>15</v>
      </c>
      <c r="E6">
        <v>0.8</v>
      </c>
      <c r="F6">
        <f>LN(C6)</f>
        <v>-4.6051701859880909</v>
      </c>
      <c r="G6">
        <f>LOG(D6)</f>
        <v>1.1760912590556813</v>
      </c>
      <c r="H6">
        <f>LN(E6)</f>
        <v>-0.22314355131420971</v>
      </c>
    </row>
    <row r="7" spans="1:8">
      <c r="A7" t="s">
        <v>19</v>
      </c>
      <c r="B7" t="s">
        <v>20</v>
      </c>
      <c r="C7">
        <v>0.01</v>
      </c>
      <c r="D7">
        <v>17.600000000000001</v>
      </c>
      <c r="E7">
        <v>2.5</v>
      </c>
      <c r="F7">
        <f>LN(C7)</f>
        <v>-4.6051701859880909</v>
      </c>
      <c r="G7">
        <f>LOG(D7)</f>
        <v>1.2455126678141499</v>
      </c>
      <c r="H7">
        <f>LN(E7)</f>
        <v>0.91629073187415511</v>
      </c>
    </row>
    <row r="8" spans="1:8">
      <c r="A8" t="s">
        <v>81</v>
      </c>
      <c r="B8" t="s">
        <v>82</v>
      </c>
      <c r="C8">
        <v>0.01</v>
      </c>
      <c r="D8">
        <v>17.600000000000001</v>
      </c>
      <c r="E8">
        <v>0.8</v>
      </c>
      <c r="F8">
        <f>LN(C8)</f>
        <v>-4.6051701859880909</v>
      </c>
      <c r="G8">
        <f>LOG(D8)</f>
        <v>1.2455126678141499</v>
      </c>
      <c r="H8">
        <f>LN(E8)</f>
        <v>-0.22314355131420971</v>
      </c>
    </row>
    <row r="9" spans="1:8">
      <c r="A9" t="s">
        <v>58</v>
      </c>
      <c r="B9" t="s">
        <v>59</v>
      </c>
      <c r="C9">
        <v>0.01</v>
      </c>
      <c r="D9">
        <v>18</v>
      </c>
      <c r="E9">
        <v>0.8</v>
      </c>
      <c r="F9">
        <f>LN(C9)</f>
        <v>-4.6051701859880909</v>
      </c>
      <c r="G9">
        <f>LOG(D9)</f>
        <v>1.255272505103306</v>
      </c>
      <c r="H9">
        <f>LN(E9)</f>
        <v>-0.22314355131420971</v>
      </c>
    </row>
    <row r="10" spans="1:8">
      <c r="A10" t="s">
        <v>29</v>
      </c>
      <c r="B10" t="s">
        <v>30</v>
      </c>
      <c r="C10">
        <v>0.02</v>
      </c>
      <c r="D10">
        <v>9.64</v>
      </c>
      <c r="E10">
        <v>2</v>
      </c>
      <c r="F10">
        <f>LN(C10)</f>
        <v>-3.912023005428146</v>
      </c>
      <c r="G10">
        <f>LOG(D10)</f>
        <v>0.98407703390283086</v>
      </c>
      <c r="H10">
        <f>LN(E10)</f>
        <v>0.69314718055994529</v>
      </c>
    </row>
    <row r="11" spans="1:8">
      <c r="A11" t="s">
        <v>74</v>
      </c>
      <c r="B11" t="s">
        <v>75</v>
      </c>
      <c r="C11">
        <v>0.02</v>
      </c>
      <c r="D11">
        <v>15.4</v>
      </c>
      <c r="E11">
        <v>1.5</v>
      </c>
      <c r="F11">
        <f>LN(C11)</f>
        <v>-3.912023005428146</v>
      </c>
      <c r="G11">
        <f>LOG(D11)</f>
        <v>1.1875207208364631</v>
      </c>
      <c r="H11">
        <f>LN(E11)</f>
        <v>0.40546510810816438</v>
      </c>
    </row>
    <row r="12" spans="1:8">
      <c r="A12" t="s">
        <v>161</v>
      </c>
      <c r="B12" t="s">
        <v>163</v>
      </c>
      <c r="C12">
        <v>0.02</v>
      </c>
      <c r="D12">
        <v>15.6</v>
      </c>
      <c r="E12">
        <v>6</v>
      </c>
      <c r="F12">
        <f>LN(C12)</f>
        <v>-3.912023005428146</v>
      </c>
      <c r="G12">
        <f>LOG(D12)</f>
        <v>1.1931245983544616</v>
      </c>
      <c r="H12">
        <f>LN(E12)</f>
        <v>1.791759469228055</v>
      </c>
    </row>
    <row r="13" spans="1:8">
      <c r="A13" t="s">
        <v>58</v>
      </c>
      <c r="B13" t="s">
        <v>63</v>
      </c>
      <c r="C13">
        <v>0.02</v>
      </c>
      <c r="D13">
        <v>20.9</v>
      </c>
      <c r="E13">
        <v>1.5</v>
      </c>
      <c r="F13">
        <f>LN(C13)</f>
        <v>-3.912023005428146</v>
      </c>
      <c r="G13">
        <f>LOG(D13)</f>
        <v>1.320146286111054</v>
      </c>
      <c r="H13">
        <f>LN(E13)</f>
        <v>0.40546510810816438</v>
      </c>
    </row>
    <row r="14" spans="1:8">
      <c r="A14" t="s">
        <v>61</v>
      </c>
      <c r="B14" t="s">
        <v>62</v>
      </c>
      <c r="C14">
        <v>0.02</v>
      </c>
      <c r="D14">
        <v>23.8</v>
      </c>
      <c r="E14">
        <v>1.5</v>
      </c>
      <c r="F14">
        <f>LN(C14)</f>
        <v>-3.912023005428146</v>
      </c>
      <c r="G14">
        <f>LOG(D14)</f>
        <v>1.3765769570565121</v>
      </c>
      <c r="H14">
        <f>LN(E14)</f>
        <v>0.40546510810816438</v>
      </c>
    </row>
    <row r="15" spans="1:8">
      <c r="A15" t="s">
        <v>50</v>
      </c>
      <c r="B15" t="s">
        <v>51</v>
      </c>
      <c r="C15">
        <v>0.02</v>
      </c>
      <c r="D15">
        <v>25.3</v>
      </c>
      <c r="E15">
        <v>1.2</v>
      </c>
      <c r="F15">
        <f>LN(C15)</f>
        <v>-3.912023005428146</v>
      </c>
      <c r="G15">
        <f>LOG(D15)</f>
        <v>1.403120521175818</v>
      </c>
      <c r="H15">
        <f>LN(E15)</f>
        <v>0.18232155679395459</v>
      </c>
    </row>
    <row r="16" spans="1:8">
      <c r="A16" t="s">
        <v>77</v>
      </c>
      <c r="B16" t="s">
        <v>78</v>
      </c>
      <c r="C16">
        <v>0.02</v>
      </c>
      <c r="D16">
        <v>26.8</v>
      </c>
      <c r="E16">
        <v>1.5</v>
      </c>
      <c r="F16">
        <f>LN(C16)</f>
        <v>-3.912023005428146</v>
      </c>
      <c r="G16">
        <f>LOG(D16)</f>
        <v>1.4281347940287887</v>
      </c>
      <c r="H16">
        <f>LN(E16)</f>
        <v>0.40546510810816438</v>
      </c>
    </row>
    <row r="17" spans="1:8">
      <c r="A17" t="s">
        <v>161</v>
      </c>
      <c r="B17" t="s">
        <v>162</v>
      </c>
      <c r="C17">
        <v>0.03</v>
      </c>
      <c r="D17">
        <v>9.65</v>
      </c>
      <c r="E17">
        <v>8</v>
      </c>
      <c r="F17">
        <f>LN(C17)</f>
        <v>-3.5065578973199818</v>
      </c>
      <c r="G17">
        <f>LOG(D17)</f>
        <v>0.98452731334379262</v>
      </c>
      <c r="H17">
        <f>LN(E17)</f>
        <v>2.0794415416798357</v>
      </c>
    </row>
    <row r="18" spans="1:8">
      <c r="A18" t="s">
        <v>58</v>
      </c>
      <c r="B18" t="s">
        <v>60</v>
      </c>
      <c r="C18">
        <v>0.03</v>
      </c>
      <c r="D18">
        <v>22</v>
      </c>
      <c r="E18">
        <v>1.5</v>
      </c>
      <c r="F18">
        <f>LN(C18)</f>
        <v>-3.5065578973199818</v>
      </c>
      <c r="G18">
        <f>LOG(D18)</f>
        <v>1.3424226808222062</v>
      </c>
      <c r="H18">
        <f>LN(E18)</f>
        <v>0.40546510810816438</v>
      </c>
    </row>
    <row r="19" spans="1:8">
      <c r="A19" t="s">
        <v>54</v>
      </c>
      <c r="B19" t="s">
        <v>55</v>
      </c>
      <c r="C19">
        <v>0.04</v>
      </c>
      <c r="D19">
        <v>22.5</v>
      </c>
      <c r="E19">
        <v>2.5</v>
      </c>
      <c r="F19">
        <f>LN(C19)</f>
        <v>-3.2188758248682006</v>
      </c>
      <c r="G19">
        <f>LOG(D19)</f>
        <v>1.3521825181113625</v>
      </c>
      <c r="H19">
        <f>LN(E19)</f>
        <v>0.91629073187415511</v>
      </c>
    </row>
    <row r="20" spans="1:8">
      <c r="A20" t="s">
        <v>58</v>
      </c>
      <c r="B20" t="s">
        <v>73</v>
      </c>
      <c r="C20">
        <v>0.04</v>
      </c>
      <c r="D20">
        <v>23.8</v>
      </c>
      <c r="E20">
        <v>2</v>
      </c>
      <c r="F20">
        <f>LN(C20)</f>
        <v>-3.2188758248682006</v>
      </c>
      <c r="G20">
        <f>LOG(D20)</f>
        <v>1.3765769570565121</v>
      </c>
      <c r="H20">
        <f>LN(E20)</f>
        <v>0.69314718055994529</v>
      </c>
    </row>
    <row r="21" spans="1:8">
      <c r="A21" t="s">
        <v>74</v>
      </c>
      <c r="B21" t="s">
        <v>76</v>
      </c>
      <c r="C21">
        <v>0.05</v>
      </c>
      <c r="D21">
        <v>22.6</v>
      </c>
      <c r="E21">
        <v>2.5</v>
      </c>
      <c r="F21">
        <f>LN(C21)</f>
        <v>-2.9957322735539909</v>
      </c>
      <c r="G21">
        <f>LOG(D21)</f>
        <v>1.354108439147401</v>
      </c>
      <c r="H21">
        <f>LN(E21)</f>
        <v>0.91629073187415511</v>
      </c>
    </row>
    <row r="22" spans="1:8">
      <c r="A22" t="s">
        <v>56</v>
      </c>
      <c r="B22" t="s">
        <v>57</v>
      </c>
      <c r="C22">
        <v>0.05</v>
      </c>
      <c r="D22">
        <v>26</v>
      </c>
      <c r="E22">
        <v>2.5</v>
      </c>
      <c r="F22">
        <f>LN(C22)</f>
        <v>-2.9957322735539909</v>
      </c>
      <c r="G22">
        <f>LOG(D22)</f>
        <v>1.414973347970818</v>
      </c>
      <c r="H22">
        <f>LN(E22)</f>
        <v>0.91629073187415511</v>
      </c>
    </row>
    <row r="23" spans="1:8">
      <c r="A23" t="s">
        <v>166</v>
      </c>
      <c r="B23" t="s">
        <v>167</v>
      </c>
      <c r="C23">
        <v>0.06</v>
      </c>
      <c r="D23">
        <v>14.2</v>
      </c>
      <c r="E23">
        <v>10</v>
      </c>
      <c r="F23">
        <f>LN(C23)</f>
        <v>-2.8134107167600364</v>
      </c>
      <c r="G23">
        <f>LOG(D23)</f>
        <v>1.1522883443830565</v>
      </c>
      <c r="H23">
        <f>LN(E23)</f>
        <v>2.3025850929940459</v>
      </c>
    </row>
    <row r="24" spans="1:8">
      <c r="A24" t="s">
        <v>92</v>
      </c>
      <c r="B24" t="s">
        <v>93</v>
      </c>
      <c r="C24">
        <v>0.08</v>
      </c>
      <c r="D24">
        <v>40.700000000000003</v>
      </c>
      <c r="E24">
        <v>3</v>
      </c>
      <c r="F24">
        <f>LN(C24)</f>
        <v>-2.5257286443082556</v>
      </c>
      <c r="G24">
        <f>LOG(D24)</f>
        <v>1.6095944092252201</v>
      </c>
      <c r="H24">
        <f>LN(E24)</f>
        <v>1.0986122886681098</v>
      </c>
    </row>
    <row r="25" spans="1:8">
      <c r="A25" t="s">
        <v>23</v>
      </c>
      <c r="B25" t="s">
        <v>24</v>
      </c>
      <c r="C25">
        <v>0.09</v>
      </c>
      <c r="D25">
        <v>37.4</v>
      </c>
      <c r="E25">
        <v>3</v>
      </c>
      <c r="F25">
        <f>LN(C25)</f>
        <v>-2.4079456086518722</v>
      </c>
      <c r="G25">
        <f>LOG(D25)</f>
        <v>1.5728716022004801</v>
      </c>
      <c r="H25">
        <f>LN(E25)</f>
        <v>1.0986122886681098</v>
      </c>
    </row>
    <row r="26" spans="1:8">
      <c r="A26" t="s">
        <v>92</v>
      </c>
      <c r="B26" t="s">
        <v>94</v>
      </c>
      <c r="C26">
        <v>0.11</v>
      </c>
      <c r="D26">
        <v>30.5</v>
      </c>
      <c r="E26">
        <v>3.5</v>
      </c>
      <c r="F26">
        <f>LN(C26)</f>
        <v>-2.2072749131897207</v>
      </c>
      <c r="G26">
        <f>LOG(D26)</f>
        <v>1.4842998393467859</v>
      </c>
      <c r="H26">
        <f>LN(E26)</f>
        <v>1.2527629684953681</v>
      </c>
    </row>
    <row r="27" spans="1:8">
      <c r="A27" t="s">
        <v>92</v>
      </c>
      <c r="B27" t="s">
        <v>95</v>
      </c>
      <c r="C27">
        <v>0.13</v>
      </c>
      <c r="D27">
        <v>80.900000000000006</v>
      </c>
      <c r="E27">
        <v>3.5</v>
      </c>
      <c r="F27">
        <f>LN(C27)</f>
        <v>-2.0402208285265546</v>
      </c>
      <c r="G27">
        <f>LOG(D27)</f>
        <v>1.9079485216122722</v>
      </c>
      <c r="H27">
        <f>LN(E27)</f>
        <v>1.2527629684953681</v>
      </c>
    </row>
    <row r="28" spans="1:8">
      <c r="A28" t="s">
        <v>64</v>
      </c>
      <c r="B28" t="s">
        <v>66</v>
      </c>
      <c r="C28">
        <v>0.14000000000000001</v>
      </c>
      <c r="D28">
        <v>48.2</v>
      </c>
      <c r="E28">
        <v>3.5</v>
      </c>
      <c r="F28">
        <f>LN(C28)</f>
        <v>-1.9661128563728327</v>
      </c>
      <c r="G28">
        <f>LOG(D28)</f>
        <v>1.6830470382388496</v>
      </c>
      <c r="H28">
        <f>LN(E28)</f>
        <v>1.2527629684953681</v>
      </c>
    </row>
    <row r="29" spans="1:8">
      <c r="A29" t="s">
        <v>164</v>
      </c>
      <c r="B29" t="s">
        <v>165</v>
      </c>
      <c r="C29">
        <v>0.15</v>
      </c>
      <c r="D29">
        <v>68</v>
      </c>
      <c r="E29">
        <v>10</v>
      </c>
      <c r="F29">
        <f>LN(C29)</f>
        <v>-1.8971199848858813</v>
      </c>
      <c r="G29">
        <f>LOG(D29)</f>
        <v>1.8325089127062364</v>
      </c>
      <c r="H29">
        <f>LN(E29)</f>
        <v>2.3025850929940459</v>
      </c>
    </row>
    <row r="30" spans="1:8">
      <c r="A30" t="s">
        <v>97</v>
      </c>
      <c r="B30" t="s">
        <v>98</v>
      </c>
      <c r="C30">
        <v>0.16</v>
      </c>
      <c r="D30">
        <v>168</v>
      </c>
      <c r="E30">
        <v>3</v>
      </c>
      <c r="F30">
        <f>LN(C30)</f>
        <v>-1.8325814637483102</v>
      </c>
      <c r="G30">
        <f>LOG(D30)</f>
        <v>2.2253092817258628</v>
      </c>
      <c r="H30">
        <f>LN(E30)</f>
        <v>1.0986122886681098</v>
      </c>
    </row>
    <row r="31" spans="1:8">
      <c r="A31" t="s">
        <v>64</v>
      </c>
      <c r="B31" t="s">
        <v>68</v>
      </c>
      <c r="C31">
        <v>0.17</v>
      </c>
      <c r="D31">
        <v>61.4</v>
      </c>
      <c r="E31">
        <v>3.5</v>
      </c>
      <c r="F31">
        <f>LN(C31)</f>
        <v>-1.7719568419318752</v>
      </c>
      <c r="G31">
        <f>LOG(D31)</f>
        <v>1.7881683711411678</v>
      </c>
      <c r="H31">
        <f>LN(E31)</f>
        <v>1.2527629684953681</v>
      </c>
    </row>
    <row r="32" spans="1:8">
      <c r="A32" t="s">
        <v>92</v>
      </c>
      <c r="B32" t="s">
        <v>96</v>
      </c>
      <c r="C32">
        <v>0.19</v>
      </c>
      <c r="D32">
        <v>51.4</v>
      </c>
      <c r="E32">
        <v>4</v>
      </c>
      <c r="F32">
        <f>LN(C32)</f>
        <v>-1.6607312068216509</v>
      </c>
      <c r="G32">
        <f>LOG(D32)</f>
        <v>1.7109631189952756</v>
      </c>
      <c r="H32">
        <f>LN(E32)</f>
        <v>1.3862943611198906</v>
      </c>
    </row>
    <row r="33" spans="1:8">
      <c r="A33" t="s">
        <v>64</v>
      </c>
      <c r="B33" t="s">
        <v>67</v>
      </c>
      <c r="C33">
        <v>0.19</v>
      </c>
      <c r="D33">
        <v>71.3</v>
      </c>
      <c r="E33">
        <v>3.5</v>
      </c>
      <c r="F33">
        <f>LN(C33)</f>
        <v>-1.6607312068216509</v>
      </c>
      <c r="G33">
        <f>LOG(D33)</f>
        <v>1.8530895298518655</v>
      </c>
      <c r="H33">
        <f>LN(E33)</f>
        <v>1.2527629684953681</v>
      </c>
    </row>
    <row r="34" spans="1:8">
      <c r="A34" t="s">
        <v>64</v>
      </c>
      <c r="B34" t="s">
        <v>65</v>
      </c>
      <c r="C34">
        <v>0.32</v>
      </c>
      <c r="D34">
        <v>121</v>
      </c>
      <c r="E34">
        <v>3.5</v>
      </c>
      <c r="F34">
        <f>LN(C34)</f>
        <v>-1.1394342831883648</v>
      </c>
      <c r="G34">
        <f>LOG(D34)</f>
        <v>2.0827853703164503</v>
      </c>
      <c r="H34">
        <f>LN(E34)</f>
        <v>1.2527629684953681</v>
      </c>
    </row>
    <row r="35" spans="1:8">
      <c r="A35" t="s">
        <v>52</v>
      </c>
      <c r="B35" t="s">
        <v>53</v>
      </c>
      <c r="C35">
        <v>0.36</v>
      </c>
      <c r="D35">
        <v>112</v>
      </c>
      <c r="E35">
        <v>4</v>
      </c>
      <c r="F35">
        <f>LN(C35)</f>
        <v>-1.0216512475319814</v>
      </c>
      <c r="G35">
        <f>LOG(D35)</f>
        <v>2.0492180226701815</v>
      </c>
      <c r="H35">
        <f>LN(E35)</f>
        <v>1.3862943611198906</v>
      </c>
    </row>
    <row r="36" spans="1:8">
      <c r="A36" t="s">
        <v>83</v>
      </c>
      <c r="B36" t="s">
        <v>84</v>
      </c>
      <c r="C36">
        <v>0.49</v>
      </c>
      <c r="D36">
        <v>112</v>
      </c>
      <c r="E36">
        <v>8</v>
      </c>
      <c r="F36">
        <f>LN(C36)</f>
        <v>-0.71334988787746478</v>
      </c>
      <c r="G36">
        <f>LOG(D36)</f>
        <v>2.0492180226701815</v>
      </c>
      <c r="H36">
        <f>LN(E36)</f>
        <v>2.0794415416798357</v>
      </c>
    </row>
    <row r="37" spans="1:8">
      <c r="A37" t="s">
        <v>88</v>
      </c>
      <c r="B37" t="s">
        <v>89</v>
      </c>
      <c r="C37">
        <v>0.5</v>
      </c>
      <c r="D37">
        <v>192</v>
      </c>
      <c r="E37">
        <v>6</v>
      </c>
      <c r="F37">
        <f>LN(C37)</f>
        <v>-0.69314718055994529</v>
      </c>
      <c r="G37">
        <f>LOG(D37)</f>
        <v>2.2833012287035497</v>
      </c>
      <c r="H37">
        <f>LN(E37)</f>
        <v>1.791759469228055</v>
      </c>
    </row>
    <row r="38" spans="1:8">
      <c r="A38" t="s">
        <v>168</v>
      </c>
      <c r="B38" t="s">
        <v>169</v>
      </c>
      <c r="C38">
        <v>0.6</v>
      </c>
      <c r="D38">
        <v>153</v>
      </c>
      <c r="E38">
        <v>13</v>
      </c>
      <c r="F38">
        <f>LN(C38)</f>
        <v>-0.51082562376599072</v>
      </c>
      <c r="G38">
        <f>LOG(D38)</f>
        <v>2.1846914308175989</v>
      </c>
      <c r="H38">
        <f>LN(E38)</f>
        <v>2.5649493574615367</v>
      </c>
    </row>
    <row r="39" spans="1:8">
      <c r="A39" t="s">
        <v>27</v>
      </c>
      <c r="B39" t="s">
        <v>28</v>
      </c>
      <c r="C39">
        <v>0.65</v>
      </c>
      <c r="D39">
        <v>153</v>
      </c>
      <c r="E39">
        <v>7</v>
      </c>
      <c r="F39">
        <f>LN(C39)</f>
        <v>-0.43078291609245423</v>
      </c>
      <c r="G39">
        <f>LOG(D39)</f>
        <v>2.1846914308175989</v>
      </c>
      <c r="H39">
        <f>LN(E39)</f>
        <v>1.9459101490553132</v>
      </c>
    </row>
    <row r="40" spans="1:8">
      <c r="A40" t="s">
        <v>153</v>
      </c>
      <c r="B40" t="s">
        <v>154</v>
      </c>
      <c r="C40">
        <v>0.66</v>
      </c>
      <c r="D40">
        <v>239</v>
      </c>
      <c r="E40">
        <v>8</v>
      </c>
      <c r="F40">
        <f>LN(C40)</f>
        <v>-0.41551544396166579</v>
      </c>
      <c r="G40">
        <f>LOG(D40)</f>
        <v>2.3783979009481375</v>
      </c>
      <c r="H40">
        <f>LN(E40)</f>
        <v>2.0794415416798357</v>
      </c>
    </row>
    <row r="41" spans="1:8">
      <c r="A41" t="s">
        <v>109</v>
      </c>
      <c r="B41" t="s">
        <v>110</v>
      </c>
      <c r="C41">
        <v>0.7</v>
      </c>
      <c r="D41">
        <v>220</v>
      </c>
      <c r="E41">
        <v>7</v>
      </c>
      <c r="F41">
        <f>LN(C41)</f>
        <v>-0.35667494393873245</v>
      </c>
      <c r="G41">
        <f>LOG(D41)</f>
        <v>2.3424226808222062</v>
      </c>
      <c r="H41">
        <f>LN(E41)</f>
        <v>1.9459101490553132</v>
      </c>
    </row>
    <row r="42" spans="1:8">
      <c r="A42" t="s">
        <v>74</v>
      </c>
      <c r="B42" t="s">
        <v>87</v>
      </c>
      <c r="C42">
        <v>0.75</v>
      </c>
      <c r="D42">
        <v>193</v>
      </c>
      <c r="E42">
        <v>6</v>
      </c>
      <c r="F42">
        <f>LN(C42)</f>
        <v>-0.2876820724517809</v>
      </c>
      <c r="G42">
        <f>LOG(D42)</f>
        <v>2.2855573090077739</v>
      </c>
      <c r="H42">
        <f>LN(E42)</f>
        <v>1.791759469228055</v>
      </c>
    </row>
    <row r="43" spans="1:8">
      <c r="A43" t="s">
        <v>11</v>
      </c>
      <c r="B43" t="s">
        <v>12</v>
      </c>
      <c r="C43">
        <v>0.81</v>
      </c>
      <c r="D43">
        <v>196</v>
      </c>
      <c r="E43">
        <v>5</v>
      </c>
      <c r="F43">
        <f>LN(C43)</f>
        <v>-0.21072103131565253</v>
      </c>
      <c r="G43">
        <f>LOG(D43)</f>
        <v>2.2922560713564759</v>
      </c>
      <c r="H43">
        <f>LN(E43)</f>
        <v>1.6094379124341003</v>
      </c>
    </row>
    <row r="44" spans="1:8">
      <c r="A44" t="s">
        <v>69</v>
      </c>
      <c r="B44" t="s">
        <v>70</v>
      </c>
      <c r="C44">
        <v>0.84</v>
      </c>
      <c r="D44">
        <v>333</v>
      </c>
      <c r="E44">
        <v>3.5</v>
      </c>
      <c r="F44">
        <f>LN(C44)</f>
        <v>-0.1743533871447778</v>
      </c>
      <c r="G44">
        <f>LOG(D44)</f>
        <v>2.5224442335063197</v>
      </c>
      <c r="H44">
        <f>LN(E44)</f>
        <v>1.2527629684953681</v>
      </c>
    </row>
    <row r="45" spans="1:8">
      <c r="A45" t="s">
        <v>25</v>
      </c>
      <c r="B45" t="s">
        <v>26</v>
      </c>
      <c r="C45">
        <v>1</v>
      </c>
      <c r="D45">
        <v>201</v>
      </c>
      <c r="E45">
        <v>8</v>
      </c>
      <c r="F45">
        <f>LN(C45)</f>
        <v>0</v>
      </c>
      <c r="G45">
        <f>LOG(D45)</f>
        <v>2.3031960574204891</v>
      </c>
      <c r="H45">
        <f>LN(E45)</f>
        <v>2.0794415416798357</v>
      </c>
    </row>
    <row r="46" spans="1:8">
      <c r="A46" t="s">
        <v>9</v>
      </c>
      <c r="B46" t="s">
        <v>10</v>
      </c>
      <c r="C46">
        <v>1.3</v>
      </c>
      <c r="D46">
        <v>229</v>
      </c>
      <c r="E46">
        <v>9</v>
      </c>
      <c r="F46">
        <f>LN(C46)</f>
        <v>0.26236426446749106</v>
      </c>
      <c r="G46">
        <f>LOG(D46)</f>
        <v>2.3598354823398879</v>
      </c>
      <c r="H46">
        <f>LN(E46)</f>
        <v>2.1972245773362196</v>
      </c>
    </row>
    <row r="47" spans="1:8">
      <c r="A47" t="s">
        <v>13</v>
      </c>
      <c r="B47" t="s">
        <v>14</v>
      </c>
      <c r="C47">
        <v>1.33</v>
      </c>
      <c r="D47">
        <v>299</v>
      </c>
      <c r="E47">
        <v>6</v>
      </c>
      <c r="F47">
        <f>LN(C47)</f>
        <v>0.28517894223366247</v>
      </c>
      <c r="G47">
        <f>LOG(D47)</f>
        <v>2.4756711883244296</v>
      </c>
      <c r="H47">
        <f>LN(E47)</f>
        <v>1.791759469228055</v>
      </c>
    </row>
    <row r="48" spans="1:8">
      <c r="A48" t="s">
        <v>101</v>
      </c>
      <c r="B48" t="s">
        <v>102</v>
      </c>
      <c r="C48">
        <v>1.58</v>
      </c>
      <c r="D48">
        <v>686</v>
      </c>
      <c r="E48">
        <v>7</v>
      </c>
      <c r="F48">
        <f>LN(C48)</f>
        <v>0.45742484703887548</v>
      </c>
      <c r="G48">
        <f>LOG(D48)</f>
        <v>2.8363241157067516</v>
      </c>
      <c r="H48">
        <f>LN(E48)</f>
        <v>1.9459101490553132</v>
      </c>
    </row>
    <row r="49" spans="1:8">
      <c r="A49" t="s">
        <v>34</v>
      </c>
      <c r="B49" t="s">
        <v>35</v>
      </c>
      <c r="C49">
        <v>1.98</v>
      </c>
      <c r="D49">
        <v>306</v>
      </c>
      <c r="E49">
        <v>8</v>
      </c>
      <c r="F49">
        <f>LN(C49)</f>
        <v>0.68309684470644383</v>
      </c>
      <c r="G49">
        <f>LOG(D49)</f>
        <v>2.4857214264815801</v>
      </c>
      <c r="H49">
        <f>LN(E49)</f>
        <v>2.0794415416798357</v>
      </c>
    </row>
    <row r="50" spans="1:8">
      <c r="A50" t="s">
        <v>103</v>
      </c>
      <c r="B50" t="s">
        <v>104</v>
      </c>
      <c r="C50">
        <v>2.2999999999999998</v>
      </c>
      <c r="D50">
        <v>623</v>
      </c>
      <c r="E50">
        <v>8</v>
      </c>
      <c r="F50">
        <f>LN(C50)</f>
        <v>0.83290912293510388</v>
      </c>
      <c r="G50">
        <f>LOG(D50)</f>
        <v>2.7944880466591697</v>
      </c>
      <c r="H50">
        <f>LN(E50)</f>
        <v>2.0794415416798357</v>
      </c>
    </row>
    <row r="51" spans="1:8">
      <c r="A51" t="s">
        <v>5</v>
      </c>
      <c r="B51" t="s">
        <v>6</v>
      </c>
      <c r="C51">
        <v>2.5</v>
      </c>
      <c r="D51">
        <v>302</v>
      </c>
      <c r="E51">
        <v>14</v>
      </c>
      <c r="F51">
        <f>LN(C51)</f>
        <v>0.91629073187415511</v>
      </c>
      <c r="G51">
        <f>LOG(D51)</f>
        <v>2.4800069429571505</v>
      </c>
      <c r="H51">
        <f>LN(E51)</f>
        <v>2.6390573296152584</v>
      </c>
    </row>
    <row r="52" spans="1:8">
      <c r="A52" t="s">
        <v>99</v>
      </c>
      <c r="B52" t="s">
        <v>100</v>
      </c>
      <c r="C52">
        <v>2.5</v>
      </c>
      <c r="D52">
        <v>528</v>
      </c>
      <c r="E52">
        <v>8</v>
      </c>
      <c r="F52">
        <f>LN(C52)</f>
        <v>0.91629073187415511</v>
      </c>
      <c r="G52">
        <f>LOG(D52)</f>
        <v>2.7226339225338121</v>
      </c>
      <c r="H52">
        <f>LN(E52)</f>
        <v>2.0794415416798357</v>
      </c>
    </row>
    <row r="53" spans="1:8">
      <c r="A53" t="s">
        <v>90</v>
      </c>
      <c r="B53" t="s">
        <v>91</v>
      </c>
      <c r="C53">
        <v>2.65</v>
      </c>
      <c r="D53">
        <v>320</v>
      </c>
      <c r="E53">
        <v>10</v>
      </c>
      <c r="F53">
        <f>LN(C53)</f>
        <v>0.97455963999813078</v>
      </c>
      <c r="G53">
        <f>LOG(D53)</f>
        <v>2.5051499783199058</v>
      </c>
      <c r="H53">
        <f>LN(E53)</f>
        <v>2.3025850929940459</v>
      </c>
    </row>
    <row r="54" spans="1:8">
      <c r="A54" t="s">
        <v>46</v>
      </c>
      <c r="B54" t="s">
        <v>47</v>
      </c>
      <c r="C54">
        <v>2.73</v>
      </c>
      <c r="D54">
        <v>440</v>
      </c>
      <c r="E54">
        <v>8</v>
      </c>
      <c r="F54">
        <f>LN(C54)</f>
        <v>1.0043016091968684</v>
      </c>
      <c r="G54">
        <f>LOG(D54)</f>
        <v>2.6434526764861874</v>
      </c>
      <c r="H54">
        <f>LN(E54)</f>
        <v>2.0794415416798357</v>
      </c>
    </row>
    <row r="55" spans="1:8">
      <c r="A55" t="s">
        <v>105</v>
      </c>
      <c r="B55" t="s">
        <v>106</v>
      </c>
      <c r="C55">
        <v>3</v>
      </c>
      <c r="D55">
        <v>522</v>
      </c>
      <c r="E55">
        <v>9</v>
      </c>
      <c r="F55">
        <f>LN(C55)</f>
        <v>1.0986122886681098</v>
      </c>
      <c r="G55">
        <f>LOG(D55)</f>
        <v>2.7176705030022621</v>
      </c>
      <c r="H55">
        <f>LN(E55)</f>
        <v>2.1972245773362196</v>
      </c>
    </row>
    <row r="56" spans="1:8">
      <c r="A56" t="s">
        <v>151</v>
      </c>
      <c r="B56" t="s">
        <v>152</v>
      </c>
      <c r="C56">
        <v>3</v>
      </c>
      <c r="D56">
        <v>546</v>
      </c>
      <c r="E56">
        <v>11</v>
      </c>
      <c r="F56">
        <f>LN(C56)</f>
        <v>1.0986122886681098</v>
      </c>
      <c r="G56">
        <f>LOG(D56)</f>
        <v>2.7371926427047373</v>
      </c>
      <c r="H56">
        <f>LN(E56)</f>
        <v>2.3978952727983707</v>
      </c>
    </row>
    <row r="57" spans="1:8">
      <c r="A57" t="s">
        <v>15</v>
      </c>
      <c r="B57" t="s">
        <v>16</v>
      </c>
      <c r="C57">
        <v>3.26</v>
      </c>
      <c r="D57">
        <v>519</v>
      </c>
      <c r="E57">
        <v>8</v>
      </c>
      <c r="F57">
        <f>LN(C57)</f>
        <v>1.1817271953786161</v>
      </c>
      <c r="G57">
        <f>LOG(D57)</f>
        <v>2.7151673578484576</v>
      </c>
      <c r="H57">
        <f>LN(E57)</f>
        <v>2.0794415416798357</v>
      </c>
    </row>
    <row r="58" spans="1:8">
      <c r="A58" t="s">
        <v>44</v>
      </c>
      <c r="B58" t="s">
        <v>45</v>
      </c>
      <c r="C58">
        <v>3.32</v>
      </c>
      <c r="D58">
        <v>384</v>
      </c>
      <c r="E58">
        <v>10</v>
      </c>
      <c r="F58">
        <f>LN(C58)</f>
        <v>1.199964782928397</v>
      </c>
      <c r="G58">
        <f>LOG(D58)</f>
        <v>2.5843312243675309</v>
      </c>
      <c r="H58">
        <f>LN(E58)</f>
        <v>2.3025850929940459</v>
      </c>
    </row>
    <row r="59" spans="1:8">
      <c r="A59" t="s">
        <v>107</v>
      </c>
      <c r="B59" t="s">
        <v>108</v>
      </c>
      <c r="C59">
        <v>3.36</v>
      </c>
      <c r="D59">
        <v>730</v>
      </c>
      <c r="E59">
        <v>9</v>
      </c>
      <c r="F59">
        <f>LN(C59)</f>
        <v>1.2119409739751128</v>
      </c>
      <c r="G59">
        <f>LOG(D59)</f>
        <v>2.8633228601204559</v>
      </c>
      <c r="H59">
        <f>LN(E59)</f>
        <v>2.1972245773362196</v>
      </c>
    </row>
    <row r="60" spans="1:8">
      <c r="A60" t="s">
        <v>42</v>
      </c>
      <c r="B60" t="s">
        <v>43</v>
      </c>
      <c r="C60">
        <v>3.79</v>
      </c>
      <c r="D60">
        <v>331</v>
      </c>
      <c r="E60">
        <v>19</v>
      </c>
      <c r="F60">
        <f>LN(C60)</f>
        <v>1.3323660190943349</v>
      </c>
      <c r="G60">
        <f>LOG(D60)</f>
        <v>2.5198279937757189</v>
      </c>
      <c r="H60">
        <f>LN(E60)</f>
        <v>2.9444389791664403</v>
      </c>
    </row>
    <row r="61" spans="1:8">
      <c r="A61" t="s">
        <v>48</v>
      </c>
      <c r="B61" t="s">
        <v>49</v>
      </c>
      <c r="C61">
        <v>4.22</v>
      </c>
      <c r="D61">
        <v>529</v>
      </c>
      <c r="E61">
        <v>11</v>
      </c>
      <c r="F61">
        <f>LN(C61)</f>
        <v>1.4398351280479205</v>
      </c>
      <c r="G61">
        <f>LOG(D61)</f>
        <v>2.7234556720351857</v>
      </c>
      <c r="H61">
        <f>LN(E61)</f>
        <v>2.3978952727983707</v>
      </c>
    </row>
    <row r="62" spans="1:8">
      <c r="A62" t="s">
        <v>36</v>
      </c>
      <c r="B62" t="s">
        <v>37</v>
      </c>
      <c r="C62">
        <v>4.6900000000000004</v>
      </c>
      <c r="D62">
        <v>694</v>
      </c>
      <c r="E62">
        <v>11</v>
      </c>
      <c r="F62">
        <f>LN(C62)</f>
        <v>1.545432582458188</v>
      </c>
      <c r="G62">
        <f>LOG(D62)</f>
        <v>2.8413594704548548</v>
      </c>
      <c r="H62">
        <f>LN(E62)</f>
        <v>2.3978952727983707</v>
      </c>
    </row>
    <row r="63" spans="1:8">
      <c r="A63" t="s">
        <v>40</v>
      </c>
      <c r="B63" t="s">
        <v>41</v>
      </c>
      <c r="C63">
        <v>4.8</v>
      </c>
      <c r="D63">
        <v>671</v>
      </c>
      <c r="E63">
        <v>11</v>
      </c>
      <c r="F63">
        <f>LN(C63)</f>
        <v>1.5686159179138452</v>
      </c>
      <c r="G63">
        <f>LOG(D63)</f>
        <v>2.8267225201689921</v>
      </c>
      <c r="H63">
        <f>LN(E63)</f>
        <v>2.3978952727983707</v>
      </c>
    </row>
    <row r="64" spans="1:8">
      <c r="A64" t="s">
        <v>172</v>
      </c>
      <c r="B64" t="s">
        <v>173</v>
      </c>
      <c r="C64">
        <v>5</v>
      </c>
      <c r="D64">
        <v>960</v>
      </c>
      <c r="E64">
        <v>25</v>
      </c>
      <c r="F64">
        <f>LN(C64)</f>
        <v>1.6094379124341003</v>
      </c>
      <c r="G64">
        <f>LOG(D64)</f>
        <v>2.9822712330395684</v>
      </c>
      <c r="H64">
        <f>LN(E64)</f>
        <v>3.2188758248682006</v>
      </c>
    </row>
    <row r="65" spans="1:8">
      <c r="A65" t="s">
        <v>143</v>
      </c>
      <c r="B65" t="s">
        <v>144</v>
      </c>
      <c r="C65">
        <v>5.01</v>
      </c>
      <c r="D65">
        <v>1210</v>
      </c>
      <c r="E65">
        <v>12</v>
      </c>
      <c r="F65">
        <f>LN(C65)</f>
        <v>1.6114359150967734</v>
      </c>
      <c r="G65">
        <f>LOG(D65)</f>
        <v>3.0827853703164503</v>
      </c>
      <c r="H65">
        <f>LN(E65)</f>
        <v>2.4849066497880004</v>
      </c>
    </row>
    <row r="66" spans="1:8">
      <c r="A66" t="s">
        <v>32</v>
      </c>
      <c r="B66" t="s">
        <v>33</v>
      </c>
      <c r="C66">
        <v>5.05</v>
      </c>
      <c r="D66">
        <v>628</v>
      </c>
      <c r="E66">
        <v>10</v>
      </c>
      <c r="F66">
        <f>LN(C66)</f>
        <v>1.6193882432872684</v>
      </c>
      <c r="G66">
        <f>LOG(D66)</f>
        <v>2.7979596437371961</v>
      </c>
      <c r="H66">
        <f>LN(E66)</f>
        <v>2.3025850929940459</v>
      </c>
    </row>
    <row r="67" spans="1:8">
      <c r="A67" t="s">
        <v>85</v>
      </c>
      <c r="B67" t="s">
        <v>86</v>
      </c>
      <c r="C67">
        <v>6.78</v>
      </c>
      <c r="D67">
        <v>916</v>
      </c>
      <c r="E67">
        <v>13</v>
      </c>
      <c r="F67">
        <f>LN(C67)</f>
        <v>1.9139771019523042</v>
      </c>
      <c r="G67">
        <f>LOG(D67)</f>
        <v>2.9618954736678504</v>
      </c>
      <c r="H67">
        <f>LN(E67)</f>
        <v>2.5649493574615367</v>
      </c>
    </row>
    <row r="68" spans="1:8">
      <c r="A68" t="s">
        <v>178</v>
      </c>
      <c r="B68" t="s">
        <v>179</v>
      </c>
      <c r="C68">
        <v>8</v>
      </c>
      <c r="D68">
        <v>1510</v>
      </c>
      <c r="E68">
        <v>25</v>
      </c>
      <c r="F68">
        <f>LN(C68)</f>
        <v>2.0794415416798357</v>
      </c>
      <c r="G68">
        <f>LOG(D68)</f>
        <v>3.1789769472931693</v>
      </c>
      <c r="H68">
        <f>LN(E68)</f>
        <v>3.2188758248682006</v>
      </c>
    </row>
    <row r="69" spans="1:8">
      <c r="A69" t="s">
        <v>145</v>
      </c>
      <c r="B69" t="s">
        <v>146</v>
      </c>
      <c r="C69">
        <v>10</v>
      </c>
      <c r="D69">
        <v>1320</v>
      </c>
      <c r="E69">
        <v>18</v>
      </c>
      <c r="F69">
        <f>LN(C69)</f>
        <v>2.3025850929940459</v>
      </c>
      <c r="G69">
        <f>LOG(D69)</f>
        <v>3.12057393120585</v>
      </c>
      <c r="H69">
        <f>LN(E69)</f>
        <v>2.8903717578961645</v>
      </c>
    </row>
    <row r="70" spans="1:8">
      <c r="A70" t="s">
        <v>135</v>
      </c>
      <c r="B70" t="s">
        <v>136</v>
      </c>
      <c r="C70">
        <v>10</v>
      </c>
      <c r="D70">
        <v>2200</v>
      </c>
      <c r="E70">
        <v>15</v>
      </c>
      <c r="F70">
        <f>LN(C70)</f>
        <v>2.3025850929940459</v>
      </c>
      <c r="G70">
        <f>LOG(D70)</f>
        <v>3.3424226808222062</v>
      </c>
      <c r="H70">
        <f>LN(E70)</f>
        <v>2.7080502011022101</v>
      </c>
    </row>
    <row r="71" spans="1:8">
      <c r="A71" t="s">
        <v>7</v>
      </c>
      <c r="B71" t="s">
        <v>8</v>
      </c>
      <c r="C71">
        <v>10.3</v>
      </c>
      <c r="D71">
        <v>594</v>
      </c>
      <c r="E71">
        <v>20</v>
      </c>
      <c r="F71">
        <f>LN(C71)</f>
        <v>2.33214389523559</v>
      </c>
      <c r="G71">
        <f>LOG(D71)</f>
        <v>2.7737864449811935</v>
      </c>
      <c r="H71">
        <f>LN(E71)</f>
        <v>2.9957322735539909</v>
      </c>
    </row>
    <row r="72" spans="1:8">
      <c r="A72" t="s">
        <v>139</v>
      </c>
      <c r="B72" t="s">
        <v>140</v>
      </c>
      <c r="C72">
        <v>11.1</v>
      </c>
      <c r="D72">
        <v>1440</v>
      </c>
      <c r="E72">
        <v>16</v>
      </c>
      <c r="F72">
        <f>LN(C72)</f>
        <v>2.4069451083182885</v>
      </c>
      <c r="G72">
        <f>LOG(D72)</f>
        <v>3.1583624920952498</v>
      </c>
      <c r="H72">
        <f>LN(E72)</f>
        <v>2.7725887222397811</v>
      </c>
    </row>
    <row r="73" spans="1:8">
      <c r="A73" t="s">
        <v>137</v>
      </c>
      <c r="B73" t="s">
        <v>138</v>
      </c>
      <c r="C73">
        <v>12.7</v>
      </c>
      <c r="D73">
        <v>2820</v>
      </c>
      <c r="E73">
        <v>15</v>
      </c>
      <c r="F73">
        <f>LN(C73)</f>
        <v>2.5416019934645457</v>
      </c>
      <c r="G73">
        <f>LOG(D73)</f>
        <v>3.4502491083193609</v>
      </c>
      <c r="H73">
        <f>LN(E73)</f>
        <v>2.7080502011022101</v>
      </c>
    </row>
    <row r="74" spans="1:8">
      <c r="A74" t="s">
        <v>147</v>
      </c>
      <c r="B74" t="s">
        <v>148</v>
      </c>
      <c r="C74">
        <v>14</v>
      </c>
      <c r="D74">
        <v>1880</v>
      </c>
      <c r="E74">
        <v>18</v>
      </c>
      <c r="F74">
        <f>LN(C74)</f>
        <v>2.6390573296152584</v>
      </c>
      <c r="G74">
        <f>LOG(D74)</f>
        <v>3.27415784926368</v>
      </c>
      <c r="H74">
        <f>LN(E74)</f>
        <v>2.8903717578961645</v>
      </c>
    </row>
    <row r="75" spans="1:8">
      <c r="A75" t="s">
        <v>149</v>
      </c>
      <c r="B75" t="s">
        <v>150</v>
      </c>
      <c r="C75">
        <v>18</v>
      </c>
      <c r="D75">
        <v>2440</v>
      </c>
      <c r="E75">
        <v>20</v>
      </c>
      <c r="F75">
        <f>LN(C75)</f>
        <v>2.8903717578961645</v>
      </c>
      <c r="G75">
        <f>LOG(D75)</f>
        <v>3.3873898263387292</v>
      </c>
      <c r="H75">
        <f>LN(E75)</f>
        <v>2.9957322735539909</v>
      </c>
    </row>
    <row r="76" spans="1:8">
      <c r="A76" t="s">
        <v>117</v>
      </c>
      <c r="B76" t="s">
        <v>118</v>
      </c>
      <c r="C76">
        <v>19</v>
      </c>
      <c r="D76">
        <v>3670</v>
      </c>
      <c r="E76">
        <v>13</v>
      </c>
      <c r="F76">
        <f>LN(C76)</f>
        <v>2.9444389791664403</v>
      </c>
      <c r="G76">
        <f>LOG(D76)</f>
        <v>3.5646660642520893</v>
      </c>
      <c r="H76">
        <f>LN(E76)</f>
        <v>2.5649493574615367</v>
      </c>
    </row>
    <row r="77" spans="1:8">
      <c r="A77" t="s">
        <v>133</v>
      </c>
      <c r="B77" t="s">
        <v>134</v>
      </c>
      <c r="C77">
        <v>20.2</v>
      </c>
      <c r="D77">
        <v>826</v>
      </c>
      <c r="E77">
        <v>15</v>
      </c>
      <c r="F77">
        <f>LN(C77)</f>
        <v>3.0056826044071592</v>
      </c>
      <c r="G77">
        <f>LOG(D77)</f>
        <v>2.9169800473203824</v>
      </c>
      <c r="H77">
        <f>LN(E77)</f>
        <v>2.7080502011022101</v>
      </c>
    </row>
    <row r="78" spans="1:8">
      <c r="A78" t="s">
        <v>155</v>
      </c>
      <c r="B78" t="s">
        <v>156</v>
      </c>
      <c r="C78">
        <v>26</v>
      </c>
      <c r="D78">
        <v>7400</v>
      </c>
      <c r="E78">
        <v>13</v>
      </c>
      <c r="F78">
        <f>LN(C78)</f>
        <v>3.2580965380214821</v>
      </c>
      <c r="G78">
        <f>LOG(D78)</f>
        <v>3.8692317197309762</v>
      </c>
      <c r="H78">
        <f>LN(E78)</f>
        <v>2.5649493574615367</v>
      </c>
    </row>
    <row r="79" spans="1:8">
      <c r="A79" t="s">
        <v>111</v>
      </c>
      <c r="B79" t="s">
        <v>112</v>
      </c>
      <c r="C79">
        <v>32</v>
      </c>
      <c r="D79">
        <v>4320</v>
      </c>
      <c r="E79">
        <v>18</v>
      </c>
      <c r="F79">
        <f>LN(C79)</f>
        <v>3.4657359027997265</v>
      </c>
      <c r="G79">
        <f>LOG(D79)</f>
        <v>3.6354837468149119</v>
      </c>
      <c r="H79">
        <f>LN(E79)</f>
        <v>2.8903717578961645</v>
      </c>
    </row>
    <row r="80" spans="1:8">
      <c r="A80" t="s">
        <v>129</v>
      </c>
      <c r="B80" t="s">
        <v>130</v>
      </c>
      <c r="C80">
        <v>40</v>
      </c>
      <c r="D80">
        <v>3140</v>
      </c>
      <c r="E80">
        <v>21</v>
      </c>
      <c r="F80">
        <f>LN(C80)</f>
        <v>3.6888794541139363</v>
      </c>
      <c r="G80">
        <f>LOG(D80)</f>
        <v>3.4969296480732148</v>
      </c>
      <c r="H80">
        <f>LN(E80)</f>
        <v>3.044522437723423</v>
      </c>
    </row>
    <row r="81" spans="1:8">
      <c r="A81" t="s">
        <v>38</v>
      </c>
      <c r="B81" t="s">
        <v>39</v>
      </c>
      <c r="C81">
        <v>40</v>
      </c>
      <c r="D81">
        <v>4000</v>
      </c>
      <c r="E81">
        <v>15</v>
      </c>
      <c r="F81">
        <f>LN(C81)</f>
        <v>3.6888794541139363</v>
      </c>
      <c r="G81">
        <f>LOG(D81)</f>
        <v>3.6020599913279625</v>
      </c>
      <c r="H81">
        <f>LN(E81)</f>
        <v>2.7080502011022101</v>
      </c>
    </row>
    <row r="82" spans="1:8">
      <c r="A82" t="s">
        <v>141</v>
      </c>
      <c r="B82" t="s">
        <v>142</v>
      </c>
      <c r="C82">
        <v>40</v>
      </c>
      <c r="D82">
        <v>12400</v>
      </c>
      <c r="E82">
        <v>16</v>
      </c>
      <c r="F82">
        <f>LN(C82)</f>
        <v>3.6888794541139363</v>
      </c>
      <c r="G82">
        <f>LOG(D82)</f>
        <v>4.0934216851622347</v>
      </c>
      <c r="H82">
        <f>LN(E82)</f>
        <v>2.7725887222397811</v>
      </c>
    </row>
    <row r="83" spans="1:8">
      <c r="A83" t="s">
        <v>170</v>
      </c>
      <c r="B83" t="s">
        <v>171</v>
      </c>
      <c r="C83">
        <v>45</v>
      </c>
      <c r="D83">
        <v>4620</v>
      </c>
      <c r="E83">
        <v>40</v>
      </c>
      <c r="F83">
        <f>LN(C83)</f>
        <v>3.8066624897703196</v>
      </c>
      <c r="G83">
        <f>LOG(D83)</f>
        <v>3.6646419755561257</v>
      </c>
      <c r="H83">
        <f>LN(E83)</f>
        <v>3.6888794541139363</v>
      </c>
    </row>
    <row r="84" spans="1:8">
      <c r="A84" t="s">
        <v>123</v>
      </c>
      <c r="B84" t="s">
        <v>124</v>
      </c>
      <c r="C84">
        <v>49</v>
      </c>
      <c r="D84">
        <v>4200</v>
      </c>
      <c r="E84">
        <v>20</v>
      </c>
      <c r="F84">
        <f>LN(C84)</f>
        <v>3.8918202981106265</v>
      </c>
      <c r="G84">
        <f>LOG(D84)</f>
        <v>3.6232492903979003</v>
      </c>
      <c r="H84">
        <f>LN(E84)</f>
        <v>2.9957322735539909</v>
      </c>
    </row>
    <row r="85" spans="1:8">
      <c r="A85" t="s">
        <v>119</v>
      </c>
      <c r="B85" t="s">
        <v>120</v>
      </c>
      <c r="C85">
        <v>58</v>
      </c>
      <c r="D85">
        <v>7800</v>
      </c>
      <c r="E85">
        <v>18</v>
      </c>
      <c r="F85">
        <f>LN(C85)</f>
        <v>4.0604430105464191</v>
      </c>
      <c r="G85">
        <f>LOG(D85)</f>
        <v>3.8920946026904804</v>
      </c>
      <c r="H85">
        <f>LN(E85)</f>
        <v>2.8903717578961645</v>
      </c>
    </row>
    <row r="86" spans="1:8">
      <c r="A86" t="s">
        <v>180</v>
      </c>
      <c r="B86" t="s">
        <v>181</v>
      </c>
      <c r="C86">
        <v>65</v>
      </c>
      <c r="D86">
        <v>7560</v>
      </c>
      <c r="E86">
        <v>75</v>
      </c>
      <c r="F86">
        <f>LN(C86)</f>
        <v>4.1743872698956368</v>
      </c>
      <c r="G86">
        <f>LOG(D86)</f>
        <v>3.8785217955012063</v>
      </c>
      <c r="H86">
        <f>LN(E86)</f>
        <v>4.3174881135363101</v>
      </c>
    </row>
    <row r="87" spans="1:8">
      <c r="A87" t="s">
        <v>125</v>
      </c>
      <c r="B87" t="s">
        <v>126</v>
      </c>
      <c r="C87">
        <v>65</v>
      </c>
      <c r="D87">
        <v>10700</v>
      </c>
      <c r="E87">
        <v>20</v>
      </c>
      <c r="F87">
        <f>LN(C87)</f>
        <v>4.1743872698956368</v>
      </c>
      <c r="G87">
        <f>LOG(D87)</f>
        <v>4.0293837776852097</v>
      </c>
      <c r="H87">
        <f>LN(E87)</f>
        <v>2.9957322735539909</v>
      </c>
    </row>
    <row r="88" spans="1:8">
      <c r="A88" t="s">
        <v>131</v>
      </c>
      <c r="B88" t="s">
        <v>132</v>
      </c>
      <c r="C88">
        <v>140</v>
      </c>
      <c r="D88">
        <v>12000</v>
      </c>
      <c r="E88">
        <v>15</v>
      </c>
      <c r="F88">
        <f>LN(C88)</f>
        <v>4.9416424226093039</v>
      </c>
      <c r="G88">
        <f>LOG(D88)</f>
        <v>4.0791812460476251</v>
      </c>
      <c r="H88">
        <f>LN(E88)</f>
        <v>2.7080502011022101</v>
      </c>
    </row>
    <row r="89" spans="1:8">
      <c r="A89" t="s">
        <v>174</v>
      </c>
      <c r="B89" t="s">
        <v>175</v>
      </c>
      <c r="C89">
        <v>150</v>
      </c>
      <c r="D89">
        <v>15500</v>
      </c>
      <c r="E89">
        <v>45</v>
      </c>
      <c r="F89">
        <f>LN(C89)</f>
        <v>5.0106352940962555</v>
      </c>
      <c r="G89">
        <f>LOG(D89)</f>
        <v>4.1903316981702918</v>
      </c>
      <c r="H89">
        <f>LN(E89)</f>
        <v>3.8066624897703196</v>
      </c>
    </row>
    <row r="90" spans="1:8">
      <c r="A90" t="s">
        <v>157</v>
      </c>
      <c r="B90" t="s">
        <v>158</v>
      </c>
      <c r="C90">
        <v>170</v>
      </c>
      <c r="D90">
        <v>23000</v>
      </c>
      <c r="E90">
        <v>25</v>
      </c>
      <c r="F90">
        <f>LN(C90)</f>
        <v>5.1357984370502621</v>
      </c>
      <c r="G90">
        <f>LOG(D90)</f>
        <v>4.3617278360175931</v>
      </c>
      <c r="H90">
        <f>LN(E90)</f>
        <v>3.2188758248682006</v>
      </c>
    </row>
    <row r="91" spans="1:8">
      <c r="A91" t="s">
        <v>176</v>
      </c>
      <c r="B91" t="s">
        <v>177</v>
      </c>
      <c r="C91">
        <v>250</v>
      </c>
      <c r="D91">
        <v>21000</v>
      </c>
      <c r="E91">
        <v>45</v>
      </c>
      <c r="F91">
        <f>LN(C91)</f>
        <v>5.521460917862246</v>
      </c>
      <c r="G91">
        <f>LOG(D91)</f>
        <v>4.3222192947339195</v>
      </c>
      <c r="H91">
        <f>LN(E91)</f>
        <v>3.8066624897703196</v>
      </c>
    </row>
    <row r="92" spans="1:8">
      <c r="A92" t="s">
        <v>121</v>
      </c>
      <c r="B92" t="s">
        <v>122</v>
      </c>
      <c r="C92">
        <v>400</v>
      </c>
      <c r="D92">
        <v>32000</v>
      </c>
      <c r="E92">
        <v>40</v>
      </c>
      <c r="F92">
        <f>LN(C92)</f>
        <v>5.9914645471079817</v>
      </c>
      <c r="G92">
        <f>LOG(D92)</f>
        <v>4.5051499783199063</v>
      </c>
      <c r="H92">
        <f>LN(E92)</f>
        <v>3.6888794541139363</v>
      </c>
    </row>
    <row r="93" spans="1:8">
      <c r="A93" t="s">
        <v>113</v>
      </c>
      <c r="B93" t="s">
        <v>114</v>
      </c>
      <c r="C93">
        <v>407</v>
      </c>
      <c r="D93">
        <v>23600</v>
      </c>
      <c r="E93">
        <v>26</v>
      </c>
      <c r="F93">
        <f>LN(C93)</f>
        <v>6.0088131854425946</v>
      </c>
      <c r="G93">
        <f>LOG(D93)</f>
        <v>4.3729120029701063</v>
      </c>
      <c r="H93">
        <f>LN(E93)</f>
        <v>3.2580965380214821</v>
      </c>
    </row>
    <row r="94" spans="1:8">
      <c r="A94" t="s">
        <v>127</v>
      </c>
      <c r="B94" t="s">
        <v>128</v>
      </c>
      <c r="C94">
        <v>420</v>
      </c>
      <c r="D94">
        <v>29400</v>
      </c>
      <c r="E94">
        <v>35</v>
      </c>
      <c r="F94">
        <f>LN(C94)</f>
        <v>6.0402547112774139</v>
      </c>
      <c r="G94">
        <f>LOG(D94)</f>
        <v>4.4683473304121577</v>
      </c>
      <c r="H94">
        <f>LN(E94)</f>
        <v>3.5553480614894135</v>
      </c>
    </row>
    <row r="95" spans="1:8">
      <c r="A95" t="s">
        <v>159</v>
      </c>
      <c r="B95" t="s">
        <v>160</v>
      </c>
      <c r="C95">
        <v>1000</v>
      </c>
      <c r="D95">
        <v>69500</v>
      </c>
      <c r="E95">
        <v>40</v>
      </c>
      <c r="F95">
        <f>LN(C95)</f>
        <v>6.9077552789821368</v>
      </c>
      <c r="G95">
        <f>LOG(D95)</f>
        <v>4.8419848045901137</v>
      </c>
      <c r="H95">
        <f>LN(E95)</f>
        <v>3.6888794541139363</v>
      </c>
    </row>
    <row r="96" spans="1:8">
      <c r="A96" t="s">
        <v>115</v>
      </c>
      <c r="B96" t="s">
        <v>116</v>
      </c>
      <c r="C96">
        <v>3000</v>
      </c>
      <c r="D96">
        <v>165000</v>
      </c>
      <c r="E96">
        <v>54</v>
      </c>
      <c r="F96">
        <f>LN(C96)</f>
        <v>8.0063675676502459</v>
      </c>
      <c r="G96">
        <f>LOG(D96)</f>
        <v>5.2174839442139067</v>
      </c>
      <c r="H96">
        <f>LN(E96)</f>
        <v>3.9889840465642745</v>
      </c>
    </row>
  </sheetData>
  <sortState xmlns:xlrd2="http://schemas.microsoft.com/office/spreadsheetml/2017/richdata2" ref="A2:M99">
    <sortCondition ref="C2:C99"/>
    <sortCondition ref="D2:D9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Mammal Prob 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2020-10-01T17:49:53Z</dcterms:created>
  <dcterms:modified xsi:type="dcterms:W3CDTF">2020-10-01T17:49:53Z</dcterms:modified>
</cp:coreProperties>
</file>